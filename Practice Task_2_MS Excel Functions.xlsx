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hn vincent\Downloads\thesis ni kya erwin\"/>
    </mc:Choice>
  </mc:AlternateContent>
  <xr:revisionPtr revIDLastSave="0" documentId="8_{C67FBD6B-A1E7-4BFF-85AB-18909481781B}" xr6:coauthVersionLast="47" xr6:coauthVersionMax="47" xr10:uidLastSave="{00000000-0000-0000-0000-000000000000}"/>
  <bookViews>
    <workbookView xWindow="-120" yWindow="-120" windowWidth="29040" windowHeight="15720" firstSheet="26" activeTab="32" xr2:uid="{00000000-000D-0000-FFFF-FFFF00000000}"/>
  </bookViews>
  <sheets>
    <sheet name="Logical - IF" sheetId="1" r:id="rId1"/>
    <sheet name="Logical - AND" sheetId="2" r:id="rId2"/>
    <sheet name="Logical - Nested IFs" sheetId="3" r:id="rId3"/>
    <sheet name="Logical - OR" sheetId="4" r:id="rId4"/>
    <sheet name="Logical - IFERROR" sheetId="5" r:id="rId5"/>
    <sheet name="Logical - IFNA" sheetId="6" r:id="rId6"/>
    <sheet name="Text - Exact" sheetId="7" r:id="rId7"/>
    <sheet name="Text - TEXT" sheetId="8" r:id="rId8"/>
    <sheet name="Text - CONCATENATE" sheetId="9" r:id="rId9"/>
    <sheet name="Text - TRIM" sheetId="10" r:id="rId10"/>
    <sheet name="Text - SUBSTITUTE" sheetId="11" r:id="rId11"/>
    <sheet name="Text - VALUE" sheetId="12" r:id="rId12"/>
    <sheet name="Text - UPPER" sheetId="13" r:id="rId13"/>
    <sheet name="Text - LOWER" sheetId="14" r:id="rId14"/>
    <sheet name="Text - LEN" sheetId="15" r:id="rId15"/>
    <sheet name="Text - LEFT" sheetId="16" r:id="rId16"/>
    <sheet name="Text - RIGHT" sheetId="17" r:id="rId17"/>
    <sheet name="Text - MID" sheetId="18" r:id="rId18"/>
    <sheet name="Date - DATE" sheetId="19" r:id="rId19"/>
    <sheet name="Date - DATEVALUE" sheetId="20" r:id="rId20"/>
    <sheet name="Date - TODAY" sheetId="21" r:id="rId21"/>
    <sheet name="Date - NOW" sheetId="22" r:id="rId22"/>
    <sheet name="Date - DAY" sheetId="23" r:id="rId23"/>
    <sheet name="Date - MONTH" sheetId="24" r:id="rId24"/>
    <sheet name="Date - YEAR" sheetId="25" r:id="rId25"/>
    <sheet name="Date - WEEKDAY" sheetId="26" r:id="rId26"/>
    <sheet name="Time - MINUTE" sheetId="27" r:id="rId27"/>
    <sheet name="Time - HOUR" sheetId="28" r:id="rId28"/>
    <sheet name="Lookup - VLOOKUP" sheetId="29" r:id="rId29"/>
    <sheet name="Lookup - HLOOKUP" sheetId="30" r:id="rId30"/>
    <sheet name="Lookup - TRANSPOSE" sheetId="31" r:id="rId31"/>
    <sheet name="Lookup - MATCH" sheetId="32" r:id="rId32"/>
    <sheet name="MATH - SUM" sheetId="33" r:id="rId33"/>
    <sheet name="MATH - SUMIF" sheetId="34" r:id="rId34"/>
    <sheet name="MATH - SUMPRODUCT" sheetId="35" r:id="rId35"/>
    <sheet name="MATH - RAND" sheetId="36" r:id="rId36"/>
    <sheet name="MATH - RANDBETWEEN" sheetId="37" r:id="rId37"/>
    <sheet name="MATH - ROUND" sheetId="38" r:id="rId38"/>
    <sheet name="MATH - EVEN" sheetId="39" r:id="rId39"/>
    <sheet name="MATH - ODD" sheetId="40" r:id="rId40"/>
    <sheet name="MATH - MOD" sheetId="41" r:id="rId41"/>
    <sheet name="STATISTICAL - MIN" sheetId="42" r:id="rId42"/>
    <sheet name="STATISTICAL - MAX" sheetId="43" r:id="rId43"/>
    <sheet name="STATISTICAL - AVERAGE" sheetId="44" r:id="rId44"/>
    <sheet name="STATISTICAL - SMALL" sheetId="45" r:id="rId45"/>
    <sheet name="STATISTICAL - LARGE" sheetId="46" r:id="rId46"/>
    <sheet name="STATISTICAL - COUNT" sheetId="47" r:id="rId47"/>
    <sheet name="STATISTICAL - COUNTIF" sheetId="48" r:id="rId48"/>
    <sheet name="STATISTICAL - STDEV" sheetId="49" r:id="rId49"/>
    <sheet name="STATISTICAL - CORREL" sheetId="50" r:id="rId50"/>
    <sheet name="STATISTICAL - MEDIAN" sheetId="51" r:id="rId51"/>
    <sheet name="FINANCIAL functions" sheetId="52" r:id="rId52"/>
    <sheet name="VlookUp" sheetId="53" state="hidden" r:id="rId53"/>
    <sheet name="Hlookup" sheetId="54" state="hidden" r:id="rId54"/>
    <sheet name="Transpose" sheetId="55" state="hidden" r:id="rId55"/>
  </sheets>
  <definedNames>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81029"/>
</workbook>
</file>

<file path=xl/calcChain.xml><?xml version="1.0" encoding="utf-8"?>
<calcChain xmlns="http://schemas.openxmlformats.org/spreadsheetml/2006/main">
  <c r="B20" i="6" l="1"/>
  <c r="B19" i="6"/>
  <c r="D28" i="6"/>
  <c r="D29" i="6"/>
  <c r="D30" i="6"/>
  <c r="D27" i="6"/>
  <c r="B14" i="55" a="1"/>
  <c r="E14" i="55" s="1"/>
  <c r="B13" i="55" a="1"/>
  <c r="B13" i="55" s="1"/>
  <c r="D12" i="55"/>
  <c r="B12" i="55" a="1"/>
  <c r="E12" i="55" s="1"/>
  <c r="A1" i="55"/>
  <c r="A1" i="54"/>
  <c r="F123" i="53"/>
  <c r="E123" i="53"/>
  <c r="G123" i="53" s="1"/>
  <c r="F122" i="53"/>
  <c r="E122" i="53"/>
  <c r="G122" i="53" s="1"/>
  <c r="F121" i="53"/>
  <c r="G121" i="53" s="1"/>
  <c r="E121" i="53"/>
  <c r="F120" i="53"/>
  <c r="G120" i="53" s="1"/>
  <c r="E120" i="53"/>
  <c r="F119" i="53"/>
  <c r="E119" i="53"/>
  <c r="G119" i="53" s="1"/>
  <c r="G118" i="53"/>
  <c r="F118" i="53"/>
  <c r="E118" i="53"/>
  <c r="D78" i="53"/>
  <c r="D77" i="53"/>
  <c r="D76" i="53"/>
  <c r="D75" i="53"/>
  <c r="D74" i="53"/>
  <c r="D73" i="53"/>
  <c r="D72" i="53"/>
  <c r="D71" i="53"/>
  <c r="F56" i="53"/>
  <c r="G14" i="53"/>
  <c r="A1" i="53"/>
  <c r="B102" i="52"/>
  <c r="B105" i="52" s="1"/>
  <c r="B79" i="52"/>
  <c r="B76" i="52"/>
  <c r="B50" i="52"/>
  <c r="B53" i="52" s="1"/>
  <c r="B24" i="52"/>
  <c r="B27" i="52" s="1"/>
  <c r="I15" i="51"/>
  <c r="C15" i="51"/>
  <c r="E32" i="50"/>
  <c r="D32" i="50"/>
  <c r="E17" i="50"/>
  <c r="E27" i="49"/>
  <c r="E26" i="49"/>
  <c r="E25" i="49"/>
  <c r="E24" i="49"/>
  <c r="E19" i="49"/>
  <c r="E18" i="49"/>
  <c r="E17" i="49"/>
  <c r="E16" i="49"/>
  <c r="G29" i="48"/>
  <c r="F29" i="48"/>
  <c r="G28" i="48"/>
  <c r="F28" i="48"/>
  <c r="G27" i="48"/>
  <c r="F27" i="48"/>
  <c r="G26" i="48"/>
  <c r="F26" i="48"/>
  <c r="F21" i="48"/>
  <c r="F20" i="48"/>
  <c r="F19" i="48"/>
  <c r="F18" i="48"/>
  <c r="D37" i="47"/>
  <c r="D36" i="47"/>
  <c r="D35" i="47"/>
  <c r="D34" i="47"/>
  <c r="D29" i="47"/>
  <c r="D28" i="47"/>
  <c r="D27" i="47"/>
  <c r="D26" i="47"/>
  <c r="D21" i="47"/>
  <c r="D20" i="47"/>
  <c r="D19" i="47"/>
  <c r="D18" i="47"/>
  <c r="F29" i="46"/>
  <c r="E29" i="46"/>
  <c r="F28" i="46"/>
  <c r="E28" i="46"/>
  <c r="F27" i="46"/>
  <c r="E27" i="46"/>
  <c r="F26" i="46"/>
  <c r="E26" i="46"/>
  <c r="E21" i="46"/>
  <c r="E20" i="46"/>
  <c r="E19" i="46"/>
  <c r="E18" i="46"/>
  <c r="F29" i="45"/>
  <c r="E29" i="45"/>
  <c r="F28" i="45"/>
  <c r="E28" i="45"/>
  <c r="F27" i="45"/>
  <c r="E27" i="45"/>
  <c r="F26" i="45"/>
  <c r="E26" i="45"/>
  <c r="E21" i="45"/>
  <c r="E20" i="45"/>
  <c r="E19" i="45"/>
  <c r="E18" i="45"/>
  <c r="D26" i="44"/>
  <c r="D25" i="44"/>
  <c r="D24" i="44"/>
  <c r="D23" i="44"/>
  <c r="D18" i="44"/>
  <c r="D17" i="44"/>
  <c r="D16" i="44"/>
  <c r="D15" i="44"/>
  <c r="E26" i="43"/>
  <c r="D26" i="43"/>
  <c r="E25" i="43"/>
  <c r="D25" i="43"/>
  <c r="E24" i="43"/>
  <c r="D24" i="43"/>
  <c r="E23" i="43"/>
  <c r="D23" i="43"/>
  <c r="D18" i="43"/>
  <c r="D17" i="43"/>
  <c r="D16" i="43"/>
  <c r="D15" i="43"/>
  <c r="D26" i="42"/>
  <c r="D25" i="42"/>
  <c r="D24" i="42"/>
  <c r="D23" i="42"/>
  <c r="D18" i="42"/>
  <c r="D17" i="42"/>
  <c r="D16" i="42"/>
  <c r="D15" i="42"/>
  <c r="D29" i="41"/>
  <c r="C29" i="41"/>
  <c r="D28" i="41"/>
  <c r="C28" i="41"/>
  <c r="D27" i="41"/>
  <c r="C27" i="41"/>
  <c r="D26" i="41"/>
  <c r="C26" i="41"/>
  <c r="C21" i="41"/>
  <c r="C20" i="41"/>
  <c r="C19" i="41"/>
  <c r="C18" i="41"/>
  <c r="B26" i="40"/>
  <c r="B25" i="40"/>
  <c r="B24" i="40"/>
  <c r="B23" i="40"/>
  <c r="B18" i="40"/>
  <c r="B17" i="40"/>
  <c r="B16" i="40"/>
  <c r="B15" i="40"/>
  <c r="B26" i="39"/>
  <c r="B25" i="39"/>
  <c r="B24" i="39"/>
  <c r="B23" i="39"/>
  <c r="B18" i="39"/>
  <c r="B17" i="39"/>
  <c r="B16" i="39"/>
  <c r="B15" i="39"/>
  <c r="E29" i="38"/>
  <c r="C29" i="38"/>
  <c r="E28" i="38"/>
  <c r="C28" i="38"/>
  <c r="E27" i="38"/>
  <c r="C27" i="38"/>
  <c r="E26" i="38"/>
  <c r="C26" i="38"/>
  <c r="B21" i="38"/>
  <c r="B20" i="38"/>
  <c r="B19" i="38"/>
  <c r="B18" i="38"/>
  <c r="D23" i="37"/>
  <c r="A23" i="37"/>
  <c r="D22" i="37"/>
  <c r="A22" i="37"/>
  <c r="D21" i="37"/>
  <c r="A21" i="37"/>
  <c r="D20" i="37"/>
  <c r="A20" i="37"/>
  <c r="D19" i="37"/>
  <c r="A19" i="37"/>
  <c r="D18" i="37"/>
  <c r="A18" i="37"/>
  <c r="C20" i="36"/>
  <c r="A20" i="36"/>
  <c r="C19" i="36"/>
  <c r="A19" i="36"/>
  <c r="C18" i="36"/>
  <c r="A18" i="36"/>
  <c r="C17" i="36"/>
  <c r="A17" i="36"/>
  <c r="C16" i="36"/>
  <c r="A16" i="36"/>
  <c r="C15" i="36"/>
  <c r="A15" i="36"/>
  <c r="C70" i="35"/>
  <c r="C69" i="35"/>
  <c r="G55" i="35"/>
  <c r="D55" i="35"/>
  <c r="C41" i="35"/>
  <c r="C40" i="35"/>
  <c r="C26" i="35"/>
  <c r="G89" i="34"/>
  <c r="D89" i="34"/>
  <c r="G71" i="34"/>
  <c r="D71" i="34"/>
  <c r="C53" i="34"/>
  <c r="C35" i="34"/>
  <c r="C34" i="34"/>
  <c r="G80" i="33"/>
  <c r="G79" i="33"/>
  <c r="G78" i="33"/>
  <c r="G77" i="33"/>
  <c r="G76" i="33"/>
  <c r="G69" i="33"/>
  <c r="G68" i="33"/>
  <c r="G67" i="33"/>
  <c r="G66" i="33"/>
  <c r="G65" i="33"/>
  <c r="G58" i="33"/>
  <c r="F58" i="33"/>
  <c r="G57" i="33"/>
  <c r="F57" i="33"/>
  <c r="G56" i="33"/>
  <c r="F56" i="33"/>
  <c r="G55" i="33"/>
  <c r="F55" i="33"/>
  <c r="F54" i="33"/>
  <c r="D45" i="33"/>
  <c r="D34" i="33"/>
  <c r="E28" i="33"/>
  <c r="D28" i="33"/>
  <c r="C28" i="33"/>
  <c r="B28" i="33"/>
  <c r="D20" i="33"/>
  <c r="D19" i="33"/>
  <c r="D18" i="33"/>
  <c r="I97" i="32"/>
  <c r="H97" i="32"/>
  <c r="G97" i="32"/>
  <c r="F97" i="32"/>
  <c r="E97" i="32"/>
  <c r="D97" i="32"/>
  <c r="C97" i="32"/>
  <c r="B97" i="32"/>
  <c r="D85" i="32"/>
  <c r="C85" i="32"/>
  <c r="B85" i="32"/>
  <c r="D84" i="32"/>
  <c r="C84" i="32"/>
  <c r="B84" i="32"/>
  <c r="D83" i="32"/>
  <c r="C83" i="32"/>
  <c r="B83" i="32"/>
  <c r="D82" i="32"/>
  <c r="C82" i="32"/>
  <c r="B82" i="32"/>
  <c r="D81" i="32"/>
  <c r="C81" i="32"/>
  <c r="B81" i="32"/>
  <c r="D80" i="32"/>
  <c r="C80" i="32"/>
  <c r="B80" i="32"/>
  <c r="D55" i="32"/>
  <c r="C55" i="32"/>
  <c r="E54" i="32"/>
  <c r="D54" i="32"/>
  <c r="C54" i="32"/>
  <c r="D53" i="32"/>
  <c r="E53" i="32" s="1"/>
  <c r="C53" i="32"/>
  <c r="D52" i="32"/>
  <c r="E52" i="32" s="1"/>
  <c r="C52" i="32"/>
  <c r="E51" i="32"/>
  <c r="D51" i="32"/>
  <c r="C51" i="32"/>
  <c r="C36" i="32"/>
  <c r="C35" i="32"/>
  <c r="C34" i="32"/>
  <c r="C33" i="32"/>
  <c r="C32" i="32"/>
  <c r="C31" i="32"/>
  <c r="C30" i="32"/>
  <c r="C29" i="32"/>
  <c r="B42" i="31" a="1"/>
  <c r="D42" i="31" s="1"/>
  <c r="B42" i="31"/>
  <c r="D41" i="31"/>
  <c r="C41" i="31"/>
  <c r="B41" i="31" a="1"/>
  <c r="B41" i="31" s="1"/>
  <c r="B29" i="31" a="1"/>
  <c r="D29" i="31" s="1"/>
  <c r="B29" i="31"/>
  <c r="D28" i="31"/>
  <c r="C28" i="31"/>
  <c r="B28" i="31" a="1"/>
  <c r="B28" i="31" s="1"/>
  <c r="I52" i="30"/>
  <c r="H52" i="30"/>
  <c r="G52" i="30"/>
  <c r="F52" i="30"/>
  <c r="E52" i="30"/>
  <c r="D52" i="30"/>
  <c r="C52" i="30"/>
  <c r="B52" i="30"/>
  <c r="C36" i="30"/>
  <c r="C35" i="30"/>
  <c r="C34" i="30"/>
  <c r="C33" i="30"/>
  <c r="C32" i="30"/>
  <c r="C31" i="30"/>
  <c r="C30" i="30"/>
  <c r="C29" i="30"/>
  <c r="I100" i="29"/>
  <c r="H100" i="29"/>
  <c r="G100" i="29"/>
  <c r="F100" i="29"/>
  <c r="E100" i="29"/>
  <c r="D100" i="29"/>
  <c r="C100" i="29"/>
  <c r="B100" i="29"/>
  <c r="D88" i="29"/>
  <c r="C88" i="29"/>
  <c r="B88" i="29"/>
  <c r="D87" i="29"/>
  <c r="C87" i="29"/>
  <c r="B87" i="29"/>
  <c r="D86" i="29"/>
  <c r="C86" i="29"/>
  <c r="B86" i="29"/>
  <c r="D85" i="29"/>
  <c r="C85" i="29"/>
  <c r="B85" i="29"/>
  <c r="D84" i="29"/>
  <c r="C84" i="29"/>
  <c r="B84" i="29"/>
  <c r="D83" i="29"/>
  <c r="C83" i="29"/>
  <c r="B83" i="29"/>
  <c r="D58" i="29"/>
  <c r="C58" i="29"/>
  <c r="E57" i="29"/>
  <c r="D57" i="29"/>
  <c r="C57" i="29"/>
  <c r="D56" i="29"/>
  <c r="E56" i="29" s="1"/>
  <c r="C56" i="29"/>
  <c r="D55" i="29"/>
  <c r="E55" i="29" s="1"/>
  <c r="C55" i="29"/>
  <c r="E54" i="29"/>
  <c r="D54" i="29"/>
  <c r="C54" i="29"/>
  <c r="C39" i="29"/>
  <c r="C38" i="29"/>
  <c r="C37" i="29"/>
  <c r="C36" i="29"/>
  <c r="C35" i="29"/>
  <c r="C34" i="29"/>
  <c r="C33" i="29"/>
  <c r="C32" i="29"/>
  <c r="C24" i="28"/>
  <c r="C23" i="28"/>
  <c r="C22" i="28"/>
  <c r="C17" i="28"/>
  <c r="C16" i="28"/>
  <c r="A15" i="28"/>
  <c r="C15" i="28" s="1"/>
  <c r="C24" i="27"/>
  <c r="C23" i="27"/>
  <c r="C22" i="27"/>
  <c r="C17" i="27"/>
  <c r="C16" i="27"/>
  <c r="A15" i="27"/>
  <c r="C15" i="27" s="1"/>
  <c r="C43" i="26"/>
  <c r="B43" i="26"/>
  <c r="B42" i="26"/>
  <c r="C42" i="26" s="1"/>
  <c r="B41" i="26"/>
  <c r="C41" i="26" s="1"/>
  <c r="C40" i="26"/>
  <c r="B40" i="26"/>
  <c r="C39" i="26"/>
  <c r="B39" i="26"/>
  <c r="B38" i="26"/>
  <c r="C38" i="26" s="1"/>
  <c r="B37" i="26"/>
  <c r="C37" i="26" s="1"/>
  <c r="C36" i="26"/>
  <c r="B36" i="26"/>
  <c r="C30" i="26"/>
  <c r="C29" i="26"/>
  <c r="C28" i="26"/>
  <c r="A23" i="26"/>
  <c r="C23" i="26" s="1"/>
  <c r="A22" i="26"/>
  <c r="C22" i="26" s="1"/>
  <c r="A21" i="26"/>
  <c r="C21" i="26" s="1"/>
  <c r="A20" i="26"/>
  <c r="C20" i="26" s="1"/>
  <c r="F35" i="25"/>
  <c r="B35" i="25"/>
  <c r="F34" i="25"/>
  <c r="B34" i="25"/>
  <c r="F33" i="25"/>
  <c r="B33" i="25"/>
  <c r="F32" i="25"/>
  <c r="B32" i="25"/>
  <c r="F31" i="25"/>
  <c r="B31" i="25"/>
  <c r="F30" i="25"/>
  <c r="B30" i="25"/>
  <c r="B29" i="25"/>
  <c r="F23" i="25"/>
  <c r="D23" i="25"/>
  <c r="F22" i="25"/>
  <c r="D22" i="25"/>
  <c r="C17" i="25"/>
  <c r="C16" i="25"/>
  <c r="F23" i="24"/>
  <c r="D23" i="24"/>
  <c r="F22" i="24"/>
  <c r="D22" i="24"/>
  <c r="C17" i="24"/>
  <c r="C16" i="24"/>
  <c r="F23" i="23"/>
  <c r="D23" i="23"/>
  <c r="F22" i="23"/>
  <c r="D22" i="23"/>
  <c r="A17" i="23"/>
  <c r="C17" i="23" s="1"/>
  <c r="A16" i="23"/>
  <c r="C16" i="23" s="1"/>
  <c r="F22" i="22"/>
  <c r="D22" i="22"/>
  <c r="F21" i="22"/>
  <c r="D21" i="22"/>
  <c r="A16" i="22"/>
  <c r="A15" i="22"/>
  <c r="D24" i="21"/>
  <c r="B24" i="21"/>
  <c r="D23" i="21"/>
  <c r="B23" i="21"/>
  <c r="D22" i="21"/>
  <c r="B22" i="21"/>
  <c r="D21" i="21"/>
  <c r="B21" i="21"/>
  <c r="A16" i="21"/>
  <c r="A15" i="21"/>
  <c r="B26" i="20"/>
  <c r="B25" i="20"/>
  <c r="B24" i="20"/>
  <c r="B23" i="20"/>
  <c r="B18" i="20"/>
  <c r="B17" i="20"/>
  <c r="B16" i="20"/>
  <c r="B15" i="20"/>
  <c r="D41" i="19"/>
  <c r="E41" i="19" s="1"/>
  <c r="C41" i="19"/>
  <c r="B41" i="19"/>
  <c r="D40" i="19"/>
  <c r="E40" i="19" s="1"/>
  <c r="C40" i="19"/>
  <c r="B40" i="19"/>
  <c r="D39" i="19"/>
  <c r="E39" i="19" s="1"/>
  <c r="C39" i="19"/>
  <c r="B39" i="19"/>
  <c r="D38" i="19"/>
  <c r="E38" i="19" s="1"/>
  <c r="C38" i="19"/>
  <c r="B38" i="19"/>
  <c r="G33" i="19"/>
  <c r="D33" i="19"/>
  <c r="G32" i="19"/>
  <c r="D32" i="19"/>
  <c r="G31" i="19"/>
  <c r="D31" i="19"/>
  <c r="G30" i="19"/>
  <c r="D30" i="19"/>
  <c r="D25" i="19"/>
  <c r="D24" i="19"/>
  <c r="D23" i="19"/>
  <c r="D22" i="19"/>
  <c r="H33" i="18"/>
  <c r="E33" i="18"/>
  <c r="H32" i="18"/>
  <c r="E32" i="18"/>
  <c r="H31" i="18"/>
  <c r="E31" i="18"/>
  <c r="H30" i="18"/>
  <c r="E30" i="18"/>
  <c r="C25" i="18"/>
  <c r="C24" i="18"/>
  <c r="C23" i="18"/>
  <c r="C22" i="18"/>
  <c r="H35" i="17"/>
  <c r="E35" i="17"/>
  <c r="H34" i="17"/>
  <c r="E34" i="17"/>
  <c r="H29" i="17"/>
  <c r="E29" i="17"/>
  <c r="H28" i="17"/>
  <c r="E28" i="17"/>
  <c r="C23" i="17"/>
  <c r="C22" i="17"/>
  <c r="C21" i="17"/>
  <c r="C20" i="17"/>
  <c r="C19" i="17"/>
  <c r="H35" i="16"/>
  <c r="E35" i="16"/>
  <c r="H34" i="16"/>
  <c r="E34" i="16"/>
  <c r="H29" i="16"/>
  <c r="E29" i="16"/>
  <c r="H28" i="16"/>
  <c r="E28" i="16"/>
  <c r="C23" i="16"/>
  <c r="C22" i="16"/>
  <c r="C21" i="16"/>
  <c r="C20" i="16"/>
  <c r="C19" i="16"/>
  <c r="F25" i="15"/>
  <c r="C25" i="15"/>
  <c r="F24" i="15"/>
  <c r="C24" i="15"/>
  <c r="C19" i="15"/>
  <c r="C18" i="15"/>
  <c r="C17" i="15"/>
  <c r="C16" i="15"/>
  <c r="C30" i="14"/>
  <c r="C29" i="14"/>
  <c r="C28" i="14"/>
  <c r="C24" i="14"/>
  <c r="F23" i="14"/>
  <c r="C23" i="14"/>
  <c r="F22" i="14"/>
  <c r="C22" i="14"/>
  <c r="C17" i="14"/>
  <c r="C16" i="14"/>
  <c r="C15" i="14"/>
  <c r="C30" i="13"/>
  <c r="C29" i="13"/>
  <c r="C28" i="13"/>
  <c r="F23" i="13"/>
  <c r="C23" i="13"/>
  <c r="F22" i="13"/>
  <c r="C22" i="13"/>
  <c r="C17" i="13"/>
  <c r="C16" i="13"/>
  <c r="C15" i="13"/>
  <c r="F24" i="12"/>
  <c r="C24" i="12"/>
  <c r="F23" i="12"/>
  <c r="C23" i="12"/>
  <c r="F22" i="12"/>
  <c r="C22" i="12"/>
  <c r="B17" i="12"/>
  <c r="B16" i="12"/>
  <c r="B15" i="12"/>
  <c r="G42" i="11"/>
  <c r="E42" i="11"/>
  <c r="G41" i="11"/>
  <c r="E41" i="11"/>
  <c r="G40" i="11"/>
  <c r="E40" i="11"/>
  <c r="G39" i="11"/>
  <c r="E39" i="11"/>
  <c r="E30" i="11"/>
  <c r="E29" i="11"/>
  <c r="E28" i="11"/>
  <c r="E27" i="11"/>
  <c r="E26" i="11"/>
  <c r="I28" i="10"/>
  <c r="F28" i="10"/>
  <c r="I27" i="10"/>
  <c r="F27" i="10"/>
  <c r="I26" i="10"/>
  <c r="F26" i="10"/>
  <c r="I25" i="10"/>
  <c r="F25" i="10"/>
  <c r="B19" i="10"/>
  <c r="B18" i="10"/>
  <c r="B17" i="10"/>
  <c r="B16" i="10"/>
  <c r="I41" i="9"/>
  <c r="F41" i="9"/>
  <c r="I40" i="9"/>
  <c r="F40" i="9"/>
  <c r="I39" i="9"/>
  <c r="F39" i="9"/>
  <c r="I38" i="9"/>
  <c r="F38" i="9"/>
  <c r="I37" i="9"/>
  <c r="F37" i="9"/>
  <c r="I36" i="9"/>
  <c r="F36" i="9"/>
  <c r="I35" i="9"/>
  <c r="F35" i="9"/>
  <c r="D26" i="9"/>
  <c r="D25" i="9"/>
  <c r="D24" i="9"/>
  <c r="D23" i="9"/>
  <c r="D22" i="9"/>
  <c r="D21" i="9"/>
  <c r="D20" i="9"/>
  <c r="C38" i="8"/>
  <c r="C37" i="8"/>
  <c r="C36" i="8"/>
  <c r="C35" i="8"/>
  <c r="C34" i="8"/>
  <c r="B25" i="8"/>
  <c r="B24" i="8"/>
  <c r="B23" i="8"/>
  <c r="B22" i="8"/>
  <c r="B21" i="8"/>
  <c r="B20" i="8"/>
  <c r="B19" i="8"/>
  <c r="B18" i="8"/>
  <c r="C32" i="7"/>
  <c r="C31" i="7"/>
  <c r="C30" i="7"/>
  <c r="C29" i="7"/>
  <c r="C20" i="7"/>
  <c r="C19" i="7"/>
  <c r="D42" i="5"/>
  <c r="D41" i="5"/>
  <c r="D40" i="5"/>
  <c r="D39" i="5"/>
  <c r="E32" i="5"/>
  <c r="C32" i="5"/>
  <c r="E31" i="5"/>
  <c r="C31" i="5"/>
  <c r="E30" i="5"/>
  <c r="C30" i="5"/>
  <c r="E29" i="5"/>
  <c r="C29" i="5"/>
  <c r="E20" i="5"/>
  <c r="C20" i="5"/>
  <c r="E19" i="5"/>
  <c r="C19" i="5"/>
  <c r="E41" i="4"/>
  <c r="E40" i="4"/>
  <c r="E39" i="4"/>
  <c r="E38" i="4"/>
  <c r="D31" i="4"/>
  <c r="D30" i="4"/>
  <c r="D29" i="4"/>
  <c r="D28" i="4"/>
  <c r="C22" i="4"/>
  <c r="C21" i="4"/>
  <c r="C20" i="4"/>
  <c r="G39" i="3"/>
  <c r="G38" i="3"/>
  <c r="G37" i="3"/>
  <c r="G36" i="3"/>
  <c r="F29" i="3"/>
  <c r="F28" i="3"/>
  <c r="F27" i="3"/>
  <c r="F26" i="3"/>
  <c r="E39" i="2"/>
  <c r="E38" i="2"/>
  <c r="E37" i="2"/>
  <c r="E36" i="2"/>
  <c r="D29" i="2"/>
  <c r="D28" i="2"/>
  <c r="D27" i="2"/>
  <c r="D26" i="2"/>
  <c r="C20" i="2"/>
  <c r="C19" i="2"/>
  <c r="C37" i="1"/>
  <c r="C36" i="1"/>
  <c r="C35" i="1"/>
  <c r="C34" i="1"/>
  <c r="C25" i="1"/>
  <c r="C24" i="1"/>
  <c r="C23" i="1"/>
  <c r="C22" i="1"/>
  <c r="C13" i="55" l="1"/>
  <c r="B12" i="55"/>
  <c r="D13" i="55"/>
  <c r="E13" i="55"/>
  <c r="C12" i="55"/>
  <c r="B14" i="55"/>
  <c r="C29" i="31"/>
  <c r="C42" i="31"/>
  <c r="C14" i="55"/>
  <c r="D14" i="55"/>
</calcChain>
</file>

<file path=xl/sharedStrings.xml><?xml version="1.0" encoding="utf-8"?>
<sst xmlns="http://schemas.openxmlformats.org/spreadsheetml/2006/main" count="2488" uniqueCount="1061">
  <si>
    <t>IF</t>
  </si>
  <si>
    <t>What does it do?</t>
  </si>
  <si>
    <t>It checks whether a condition is true or not and on the basis of that returns a value</t>
  </si>
  <si>
    <t>Syntax</t>
  </si>
  <si>
    <t xml:space="preserve"> =if(Logical_Test, [value_if_true], [value_if_false])</t>
  </si>
  <si>
    <t>Logical_Test</t>
  </si>
  <si>
    <r>
      <rPr>
        <sz val="11"/>
        <color theme="1"/>
        <rFont val="Calibri"/>
      </rPr>
      <t xml:space="preserve">This will be the condition which you want to check, so greater than, less than or equal to signs can be used for numbers. When you want to evaluate a condition based on </t>
    </r>
    <r>
      <rPr>
        <sz val="11"/>
        <color rgb="FFFF0000"/>
        <rFont val="Calibri"/>
      </rPr>
      <t>text value</t>
    </r>
    <r>
      <rPr>
        <sz val="11"/>
        <color theme="1"/>
        <rFont val="Calibri"/>
      </rPr>
      <t>, then use double quotes ('') with equal to signs (Row 27 for example)</t>
    </r>
  </si>
  <si>
    <t>Value_if_True</t>
  </si>
  <si>
    <t>If the logical test holds, then excel will return this value</t>
  </si>
  <si>
    <t>Value_if_False</t>
  </si>
  <si>
    <t>If the logical test does not hold, then excel will return this value</t>
  </si>
  <si>
    <t>Example</t>
  </si>
  <si>
    <t>Using IF formula to identify if a student has passed an exam or not</t>
  </si>
  <si>
    <t>Student ID</t>
  </si>
  <si>
    <t>Marks</t>
  </si>
  <si>
    <t>Pass or Fail</t>
  </si>
  <si>
    <t>Formula</t>
  </si>
  <si>
    <t>S001</t>
  </si>
  <si>
    <t xml:space="preserve"> =IF(B22&gt;=40,"Pass","Fail")</t>
  </si>
  <si>
    <t>S002</t>
  </si>
  <si>
    <t xml:space="preserve"> =IF(B23&gt;=40,"Pass","Fail")</t>
  </si>
  <si>
    <t>S003</t>
  </si>
  <si>
    <t xml:space="preserve"> =IF(B24&gt;=40,"Pass","Fail")</t>
  </si>
  <si>
    <t>S004</t>
  </si>
  <si>
    <t xml:space="preserve"> =IF(B25&gt;=40,"Pass","Fail")</t>
  </si>
  <si>
    <t>Note</t>
  </si>
  <si>
    <r>
      <rPr>
        <sz val="11"/>
        <color theme="1"/>
        <rFont val="Calibri"/>
      </rPr>
      <t xml:space="preserve">If instead of marks, we had Grades A, B, C i.e. </t>
    </r>
    <r>
      <rPr>
        <sz val="11"/>
        <color rgb="FFFF0000"/>
        <rFont val="Calibri"/>
      </rPr>
      <t>text values</t>
    </r>
    <r>
      <rPr>
        <sz val="11"/>
        <color theme="1"/>
        <rFont val="Calibri"/>
      </rPr>
      <t xml:space="preserve"> then the above formulas would have changed by 
IF(B21</t>
    </r>
    <r>
      <rPr>
        <sz val="11"/>
        <color rgb="FFFF0000"/>
        <rFont val="Calibri"/>
      </rPr>
      <t>= 'A'</t>
    </r>
    <r>
      <rPr>
        <sz val="11"/>
        <color theme="1"/>
        <rFont val="Calibri"/>
      </rPr>
      <t>,"Pass","Fail")</t>
    </r>
  </si>
  <si>
    <t>Exercise</t>
  </si>
  <si>
    <t>Write a formula using IF. Salary for an AVP will be $2,000 and for an analyst will be $1,000</t>
  </si>
  <si>
    <t>Emp ID</t>
  </si>
  <si>
    <t>Designation</t>
  </si>
  <si>
    <t>Salary</t>
  </si>
  <si>
    <t>E001</t>
  </si>
  <si>
    <t>AVP</t>
  </si>
  <si>
    <t>E002</t>
  </si>
  <si>
    <t>Analyst</t>
  </si>
  <si>
    <t>E003</t>
  </si>
  <si>
    <t>E004</t>
  </si>
  <si>
    <t>AND</t>
  </si>
  <si>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</si>
  <si>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</si>
  <si>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</si>
  <si>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</si>
  <si>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</si>
  <si>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</si>
  <si>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Example 1</t>
  </si>
  <si>
    <t>Testing condition 1 and condition 2 to check the numbers are greater than 0 using AND</t>
  </si>
  <si>
    <t>Condition 1</t>
  </si>
  <si>
    <t>Condition 2</t>
  </si>
  <si>
    <t>Result</t>
  </si>
  <si>
    <t xml:space="preserve"> =AND(A19&gt;0,B19&gt;0)</t>
  </si>
  <si>
    <t xml:space="preserve"> =AND(A20&gt;0,B20&gt;0)</t>
  </si>
  <si>
    <t>Example 2</t>
  </si>
  <si>
    <t>Use IF with AND function to check if student has passed or not. If the student has failed in 1 of the 2 subjects, then the student will be considered as Failed</t>
  </si>
  <si>
    <t>Subject 1</t>
  </si>
  <si>
    <t>Subject 2</t>
  </si>
  <si>
    <t>Overall Result</t>
  </si>
  <si>
    <t>PASS</t>
  </si>
  <si>
    <t xml:space="preserve"> =IF(AND(B26="PASS",C26="PASS"),"PASS","FAIL")</t>
  </si>
  <si>
    <t>FAIL</t>
  </si>
  <si>
    <t xml:space="preserve"> =IF(AND(B27="PASS",C27="PASS"),"PASS","FAIL")</t>
  </si>
  <si>
    <t xml:space="preserve"> =IF(AND(B28="PASS",C28="PASS"),"PASS","FAIL")</t>
  </si>
  <si>
    <t xml:space="preserve"> =IF(AND(B29="PASS",C29="PASS"),"PASS","FAIL")</t>
  </si>
  <si>
    <t>Write a formula using AND with IF to find if an employee should get a "GOOD" increment or not. Sales made by the employee should be more than 50 and he should have adhered to all HR policies</t>
  </si>
  <si>
    <t>Sales</t>
  </si>
  <si>
    <t>Adhered to HR Policies</t>
  </si>
  <si>
    <t>GOOD Increment (Yes or NO)</t>
  </si>
  <si>
    <t>YES</t>
  </si>
  <si>
    <t>NO</t>
  </si>
  <si>
    <t>Nested IF's</t>
  </si>
  <si>
    <t xml:space="preserve">Nested IF conditions help in checking multiple conditions together by using IF conditions within IF condition. </t>
  </si>
  <si>
    <t xml:space="preserve"> =if(Logical_Test, [value_if_true], if(Logical_Test, [value_if_true], [value_if_false]))</t>
  </si>
  <si>
    <r>
      <rPr>
        <sz val="11"/>
        <color theme="1"/>
        <rFont val="Calibri"/>
      </rPr>
      <t xml:space="preserve">This will be the condition which you want to check, so greater than, less than or equal to signs can be used for numbers. When you want to evaluate a condition based on </t>
    </r>
    <r>
      <rPr>
        <sz val="11"/>
        <color rgb="FFFF0000"/>
        <rFont val="Calibri"/>
      </rPr>
      <t>text value</t>
    </r>
    <r>
      <rPr>
        <sz val="11"/>
        <color theme="1"/>
        <rFont val="Calibri"/>
      </rPr>
      <t>, then use double quotes ('') with equal to signs</t>
    </r>
  </si>
  <si>
    <t>Nested IF</t>
  </si>
  <si>
    <t>From Excel 2007 onwards, we can use 64 IF conditions in one formula whereas Excel 2003 allows for ony 7 IF conditions</t>
  </si>
  <si>
    <t>Use Nested IF to put the grade a student gets in an exam in Table B. Score Ranges for different grades are given in Table A.</t>
  </si>
  <si>
    <t>TABLE A</t>
  </si>
  <si>
    <t>TABLE B</t>
  </si>
  <si>
    <t>Score</t>
  </si>
  <si>
    <t>Grade</t>
  </si>
  <si>
    <t>&gt; 70</t>
  </si>
  <si>
    <t>A</t>
  </si>
  <si>
    <t xml:space="preserve"> =IF(E26&lt; 41,"C",IF(E26&lt; 71,"B","A"))</t>
  </si>
  <si>
    <t>41-70</t>
  </si>
  <si>
    <t>B</t>
  </si>
  <si>
    <t xml:space="preserve"> =IF(E27&lt; 41,"C",IF(E27&lt; 71,"B","A"))</t>
  </si>
  <si>
    <t>&lt; 40</t>
  </si>
  <si>
    <t>C</t>
  </si>
  <si>
    <t xml:space="preserve"> =IF(E28&lt; 41,"C",IF(E28&lt; 71,"B","A"))</t>
  </si>
  <si>
    <t xml:space="preserve"> =IF(E29&lt; 41,"C",IF(E29&lt; 71,"B","A"))</t>
  </si>
  <si>
    <t>Write a formula using Nested IF conditions to check what level increment an employee should get and then convert the amount into dollars using Format</t>
  </si>
  <si>
    <t>Performance</t>
  </si>
  <si>
    <t>Increment</t>
  </si>
  <si>
    <t>OR</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</si>
  <si>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</si>
  <si>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 xml:space="preserve"> =OR(Logical 1, Logical 2, Logical 3, and so on..)</t>
  </si>
  <si>
    <t>Testing condition 1 and condition 2 to check the numbers are greater than 0 using OR</t>
  </si>
  <si>
    <t xml:space="preserve"> =OR(A20&gt;0,B20&gt;0)</t>
  </si>
  <si>
    <t xml:space="preserve"> =OR(A21&gt;0,B21&gt;0)</t>
  </si>
  <si>
    <t xml:space="preserve"> =OR(A22&gt;0,B22&gt;0)</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</si>
  <si>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</si>
  <si>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</si>
  <si>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</si>
  <si>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</si>
  <si>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</si>
  <si>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Write a formula using OR with IF to find if an employee should get a "GOOD" increment or not. Either Sales made by the employee should be more than 50 or he should have adhered to all HR policies</t>
  </si>
  <si>
    <t>IFERROR</t>
  </si>
  <si>
    <t>Sometimes when we use formula in cells, we might get an error because of the cell value, IFERROR allows us to remove such errors with values we want</t>
  </si>
  <si>
    <t xml:space="preserve"> =IFERROR(Value,[Value_if_error])</t>
  </si>
  <si>
    <t>First cell value which is checked if there is an error</t>
  </si>
  <si>
    <t>Value_if_error</t>
  </si>
  <si>
    <t>If in the cell there is an error, that error value will be replaced by this value</t>
  </si>
  <si>
    <t>Divide Col A by Col B and show the results without using IFERROR and with using IFERROR</t>
  </si>
  <si>
    <t>Col A</t>
  </si>
  <si>
    <t>Col B</t>
  </si>
  <si>
    <t>Without IFERROR &amp;Formula</t>
  </si>
  <si>
    <t>With IFERROR &amp;Formula</t>
  </si>
  <si>
    <t xml:space="preserve"> =A19/B19</t>
  </si>
  <si>
    <r>
      <rPr>
        <sz val="11"/>
        <color theme="1"/>
        <rFont val="Calibri"/>
      </rPr>
      <t xml:space="preserve"> =IFERROR(A19/B19,</t>
    </r>
    <r>
      <rPr>
        <b/>
        <sz val="11"/>
        <color rgb="FFFF0000"/>
        <rFont val="Calibri"/>
      </rPr>
      <t>999</t>
    </r>
    <r>
      <rPr>
        <sz val="11"/>
        <color theme="1"/>
        <rFont val="Calibri"/>
      </rPr>
      <t>)</t>
    </r>
  </si>
  <si>
    <t xml:space="preserve"> =A20/B20</t>
  </si>
  <si>
    <r>
      <rPr>
        <sz val="11"/>
        <color theme="1"/>
        <rFont val="Calibri"/>
      </rPr>
      <t xml:space="preserve"> =IFERROR(A20/B20,</t>
    </r>
    <r>
      <rPr>
        <b/>
        <sz val="11"/>
        <color rgb="FFFF0000"/>
        <rFont val="Calibri"/>
      </rPr>
      <t>999</t>
    </r>
    <r>
      <rPr>
        <sz val="11"/>
        <color theme="1"/>
        <rFont val="Calibri"/>
      </rPr>
      <t>)</t>
    </r>
  </si>
  <si>
    <t>In the above example, on dividing 1 by 0, we get an error, without using IFERROR we get #DIV/0! i.e. an error. So using IFERROR, we can give values we want. You can also enter text which can let the user know that there is some problem with the data.</t>
  </si>
  <si>
    <t xml:space="preserve"> =A29*B29</t>
  </si>
  <si>
    <r>
      <rPr>
        <sz val="11"/>
        <color theme="1"/>
        <rFont val="Calibri"/>
      </rPr>
      <t xml:space="preserve"> =IFERROR(A29*B29,</t>
    </r>
    <r>
      <rPr>
        <b/>
        <sz val="11"/>
        <color rgb="FFFF0000"/>
        <rFont val="Calibri"/>
      </rPr>
      <t>"DATA IS WRONG"</t>
    </r>
    <r>
      <rPr>
        <sz val="11"/>
        <color theme="1"/>
        <rFont val="Calibri"/>
      </rPr>
      <t>)</t>
    </r>
  </si>
  <si>
    <t xml:space="preserve"> =A30*B30</t>
  </si>
  <si>
    <r>
      <rPr>
        <sz val="11"/>
        <color theme="1"/>
        <rFont val="Calibri"/>
      </rPr>
      <t xml:space="preserve"> =IFERROR(A30*B30,</t>
    </r>
    <r>
      <rPr>
        <b/>
        <sz val="11"/>
        <color rgb="FFFF0000"/>
        <rFont val="Calibri"/>
      </rPr>
      <t>"DATA IS WRONG"</t>
    </r>
    <r>
      <rPr>
        <sz val="11"/>
        <color theme="1"/>
        <rFont val="Calibri"/>
      </rPr>
      <t>)</t>
    </r>
  </si>
  <si>
    <t>a</t>
  </si>
  <si>
    <t xml:space="preserve"> =A31*B31</t>
  </si>
  <si>
    <r>
      <rPr>
        <sz val="11"/>
        <color theme="1"/>
        <rFont val="Calibri"/>
      </rPr>
      <t xml:space="preserve"> =IFERROR(A31*B31,</t>
    </r>
    <r>
      <rPr>
        <b/>
        <sz val="11"/>
        <color rgb="FFFF0000"/>
        <rFont val="Calibri"/>
      </rPr>
      <t>"DATA IS WRONG"</t>
    </r>
    <r>
      <rPr>
        <sz val="11"/>
        <color theme="1"/>
        <rFont val="Calibri"/>
      </rPr>
      <t>)</t>
    </r>
  </si>
  <si>
    <t xml:space="preserve"> =A32*B32</t>
  </si>
  <si>
    <r>
      <rPr>
        <sz val="11"/>
        <color theme="1"/>
        <rFont val="Calibri"/>
      </rPr>
      <t xml:space="preserve"> =IFERROR(A32*B32,</t>
    </r>
    <r>
      <rPr>
        <b/>
        <sz val="11"/>
        <color rgb="FFFF0000"/>
        <rFont val="Calibri"/>
      </rPr>
      <t>"DATA IS WRONG"</t>
    </r>
    <r>
      <rPr>
        <sz val="11"/>
        <color theme="1"/>
        <rFont val="Calibri"/>
      </rPr>
      <t>)</t>
    </r>
  </si>
  <si>
    <t>The red color highlight is for representation here - color cannot be changed using IFERROR</t>
  </si>
  <si>
    <t>Write a formula using IFERROR. Find the monthly salary of each employee using data in Column C and if an error appears, then change it to ERROR IN SALARY. Change the format to £ (Pounds) and no decimal places</t>
  </si>
  <si>
    <t>Annual Salary</t>
  </si>
  <si>
    <t>Monthly Salary</t>
  </si>
  <si>
    <t>abcd</t>
  </si>
  <si>
    <t>IFNA</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</si>
  <si>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</si>
  <si>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</si>
  <si>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</si>
  <si>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rPr>
        <sz val="11"/>
        <color theme="1"/>
        <rFont val="Calibri"/>
      </rPr>
      <t xml:space="preserve"> =IFNA(A19,</t>
    </r>
    <r>
      <rPr>
        <b/>
        <sz val="11"/>
        <color rgb="FFFF0000"/>
        <rFont val="Calibri"/>
      </rPr>
      <t>9999</t>
    </r>
    <r>
      <rPr>
        <sz val="11"/>
        <color theme="1"/>
        <rFont val="Calibri"/>
      </rPr>
      <t>)</t>
    </r>
  </si>
  <si>
    <t>The red color highlight is for representation here - color cannot be changed using IFNA</t>
  </si>
  <si>
    <r>
      <rPr>
        <sz val="11"/>
        <color theme="1"/>
        <rFont val="Calibri"/>
      </rPr>
      <t xml:space="preserve"> =IFNA(A20,</t>
    </r>
    <r>
      <rPr>
        <b/>
        <sz val="11"/>
        <color rgb="FFFF0000"/>
        <rFont val="Calibri"/>
      </rPr>
      <t>9999</t>
    </r>
    <r>
      <rPr>
        <sz val="11"/>
        <color theme="1"/>
        <rFont val="Calibri"/>
      </rPr>
      <t>)</t>
    </r>
  </si>
  <si>
    <t>Write a formula using IFNA. Find the monthly salary of each employee using data in Column C and if #N/A appears, then change it to ERROR IN SALARY. Change the format to £ (Pounds) and no decimal places</t>
  </si>
  <si>
    <t>EXACT</t>
  </si>
  <si>
    <t>It checks whether 2  values (texts, numbers) are exactly same or not. If they are same, then it will return TRUE else it will return FALSE. This function is case-sensitive</t>
  </si>
  <si>
    <t xml:space="preserve"> =EXACT(Text1, Text2)</t>
  </si>
  <si>
    <t>Text1</t>
  </si>
  <si>
    <t>First string which you want to check</t>
  </si>
  <si>
    <t>Text2</t>
  </si>
  <si>
    <t>Second string which you want to test against</t>
  </si>
  <si>
    <t>EXCEL</t>
  </si>
  <si>
    <t xml:space="preserve"> =EXACT(A19,B19)</t>
  </si>
  <si>
    <t>Excel</t>
  </si>
  <si>
    <t xml:space="preserve"> =EXACT(A20,B20)</t>
  </si>
  <si>
    <t>In the above example, Row 20 result is FALSE because the EXACT function is case-sensitive. The first value is in upper capse  (EXCEL) whereas the second one (Excel) is a combination of upper and lower capse</t>
  </si>
  <si>
    <t>Write a formula using EXACT to check if the values in Col A and Col B are same or not</t>
  </si>
  <si>
    <t>Results</t>
  </si>
  <si>
    <t>TEST</t>
  </si>
  <si>
    <t>Test</t>
  </si>
  <si>
    <t>TEXT</t>
  </si>
  <si>
    <t>It converst a numeric value into text based on the format given by the user</t>
  </si>
  <si>
    <t xml:space="preserve"> =TEXT(Value, Format_text)</t>
  </si>
  <si>
    <t>Value</t>
  </si>
  <si>
    <t>Value for which we need to change the format</t>
  </si>
  <si>
    <t>Format_text</t>
  </si>
  <si>
    <t>Format specified by the user</t>
  </si>
  <si>
    <t>Using different text formats</t>
  </si>
  <si>
    <t xml:space="preserve"> =TEXT(A18, "dd/mm/yyyy")</t>
  </si>
  <si>
    <t xml:space="preserve"> =TEXT(A19, "dd/m/yyyy")</t>
  </si>
  <si>
    <t>Using Text function though the results may appear in the same way, but there format has changed to text.</t>
  </si>
  <si>
    <t xml:space="preserve"> =TEXT(A20, "mmm dd yyyy")</t>
  </si>
  <si>
    <t xml:space="preserve"> =TEXT(A21,"mmm-yy")</t>
  </si>
  <si>
    <t xml:space="preserve"> =TEXT(A22, "0.00")</t>
  </si>
  <si>
    <t xml:space="preserve"> =TEXT(A23, "$#,##0.00")</t>
  </si>
  <si>
    <t xml:space="preserve"> =TEXT(A24, "£#,##0.00")</t>
  </si>
  <si>
    <t xml:space="preserve"> =TEXT(A25, "hh:mm")</t>
  </si>
  <si>
    <t>Note:</t>
  </si>
  <si>
    <t>Col A Row 19 &amp; 20 - Excel stores dates in numbers, so that is why when we use Text with Date formats, Excel converts those numbers dates</t>
  </si>
  <si>
    <t>Convert To</t>
  </si>
  <si>
    <t>CONCATENATE</t>
  </si>
  <si>
    <t>This function joins several (more than 1) text string into 1 string</t>
  </si>
  <si>
    <t xml:space="preserve"> =CONCATENATE(String1, String2, and so on..)</t>
  </si>
  <si>
    <t xml:space="preserve"> =String1&amp;String2&amp; so on..</t>
  </si>
  <si>
    <t>String 1</t>
  </si>
  <si>
    <t>First string which you want to concatenate</t>
  </si>
  <si>
    <t>String 2</t>
  </si>
  <si>
    <t>Second string which you want to join to the first string</t>
  </si>
  <si>
    <t>Join the 3 strings together using CONCATENATE and &amp; (ampersand) operator</t>
  </si>
  <si>
    <t>String1</t>
  </si>
  <si>
    <t>String2</t>
  </si>
  <si>
    <t>String3</t>
  </si>
  <si>
    <t>Pass</t>
  </si>
  <si>
    <t xml:space="preserve"> =CONCATENATE(A20,B20,C20)</t>
  </si>
  <si>
    <t xml:space="preserve"> =CONCATENATE(A21,B21,C21)</t>
  </si>
  <si>
    <t>Fail</t>
  </si>
  <si>
    <t xml:space="preserve"> =A22&amp;B22&amp;C22</t>
  </si>
  <si>
    <t xml:space="preserve"> =A23&amp;B23&amp;C23</t>
  </si>
  <si>
    <t>S005</t>
  </si>
  <si>
    <t xml:space="preserve"> =CONCATENATE(A24," ",B24," ",C24)</t>
  </si>
  <si>
    <t>In these 3 examples, we have added spaces or semi-colons between the strings to make the result readable</t>
  </si>
  <si>
    <t>S006</t>
  </si>
  <si>
    <t xml:space="preserve"> =A25&amp;" "&amp;B25&amp;" "&amp;C25</t>
  </si>
  <si>
    <t>S007</t>
  </si>
  <si>
    <t xml:space="preserve"> =CONCATENATE(A26,";",B26,";",C26)</t>
  </si>
  <si>
    <t>In order to add spaces, other special characters between strings, you would need to use double quotes "" and declare the value between them as done in the examples above</t>
  </si>
  <si>
    <t>Join the 3 strings together using CONCATENATE and &amp; (ampersand) operator to get the results as mentioned in the result column</t>
  </si>
  <si>
    <t>USE</t>
  </si>
  <si>
    <t>E001-AVP-800</t>
  </si>
  <si>
    <t>E002Analyst500</t>
  </si>
  <si>
    <t>E003/Analyst-100</t>
  </si>
  <si>
    <t>E004:Analyst:400</t>
  </si>
  <si>
    <t>&amp;</t>
  </si>
  <si>
    <t>E005</t>
  </si>
  <si>
    <t>E005 AVP 1000</t>
  </si>
  <si>
    <t>E006</t>
  </si>
  <si>
    <t>E006 Analyst 250</t>
  </si>
  <si>
    <t>E007</t>
  </si>
  <si>
    <t>E007;Analyst*500</t>
  </si>
  <si>
    <t>TRIM</t>
  </si>
  <si>
    <t>The function removes spaces all before and following the words i.e. leading and trailing spaces - and also removes extra spaces between words but does not remove the single space between words. TRIM function is used to clean data.</t>
  </si>
  <si>
    <t xml:space="preserve"> =TRIM(Text)</t>
  </si>
  <si>
    <t>Text</t>
  </si>
  <si>
    <t>Use TRIM to remove spaces</t>
  </si>
  <si>
    <t>S001 A</t>
  </si>
  <si>
    <t xml:space="preserve"> =TRIM(A16)</t>
  </si>
  <si>
    <t>S001     A</t>
  </si>
  <si>
    <t xml:space="preserve"> =TRIM(A17)</t>
  </si>
  <si>
    <t xml:space="preserve">          S002</t>
  </si>
  <si>
    <t xml:space="preserve"> =TRIM(A18)</t>
  </si>
  <si>
    <t xml:space="preserve">S003      </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</si>
  <si>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</si>
  <si>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</si>
  <si>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</si>
  <si>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</si>
  <si>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</si>
  <si>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</si>
  <si>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SUBSTITUTE</t>
  </si>
  <si>
    <t>This function is used to replace a part of text in a string with something else. SUBSTITUTE function is used to clean data. This function is case-sensitive.</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</si>
  <si>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</si>
  <si>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</si>
  <si>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</si>
  <si>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</si>
  <si>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</si>
  <si>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</si>
  <si>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</si>
  <si>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</si>
  <si>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String</t>
  </si>
  <si>
    <t>Instances</t>
  </si>
  <si>
    <t>Hut</t>
  </si>
  <si>
    <t xml:space="preserve"> =SUBSTITUTE(A26,"t","b")</t>
  </si>
  <si>
    <t>bumble</t>
  </si>
  <si>
    <t xml:space="preserve"> =SUBSTITUTE(A27,"b","T",1)</t>
  </si>
  <si>
    <t>the car is in the driveway</t>
  </si>
  <si>
    <t xml:space="preserve"> =SUBSTITUTE(A28,"the"," ")</t>
  </si>
  <si>
    <t xml:space="preserve"> =SUBSTITUTE(A29,"the","a",2)</t>
  </si>
  <si>
    <t>The car is in the driveway</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</si>
  <si>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</si>
  <si>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</si>
  <si>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</si>
  <si>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</si>
  <si>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dog is in the lawn</t>
  </si>
  <si>
    <t>the dog is in the lawn</t>
  </si>
  <si>
    <t>Dog is in   lawn</t>
  </si>
  <si>
    <t>Dog</t>
  </si>
  <si>
    <t>Fog</t>
  </si>
  <si>
    <t>Curious Cat</t>
  </si>
  <si>
    <t>Furious Cat</t>
  </si>
  <si>
    <t>VALUE</t>
  </si>
  <si>
    <t>The function is used to convert text value into numeric value</t>
  </si>
  <si>
    <t xml:space="preserve"> =VALUE(Text)</t>
  </si>
  <si>
    <t>String which you want to convert to number</t>
  </si>
  <si>
    <t>Convert the values into numbers</t>
  </si>
  <si>
    <t xml:space="preserve"> =VALUE(A15)</t>
  </si>
  <si>
    <t xml:space="preserve"> =VALUE(A16)</t>
  </si>
  <si>
    <t>Excel stores dates as numbers, hence the function changes the dates to numbers</t>
  </si>
  <si>
    <t xml:space="preserve"> =VALUE(A17)</t>
  </si>
  <si>
    <t>Convert the values in Text column into numbers</t>
  </si>
  <si>
    <t>UPPER</t>
  </si>
  <si>
    <t>This function converts the entire text string into uppercase letters</t>
  </si>
  <si>
    <t xml:space="preserve"> =UPPER(Text)</t>
  </si>
  <si>
    <t>String for which you want to convert all letters into UPCASE</t>
  </si>
  <si>
    <t>Convert the values in Text column into UPPERCASE</t>
  </si>
  <si>
    <t>Laptop</t>
  </si>
  <si>
    <t xml:space="preserve"> =UPPER(A15)</t>
  </si>
  <si>
    <t>excel</t>
  </si>
  <si>
    <t xml:space="preserve"> =UPPER(A16)</t>
  </si>
  <si>
    <t>superstore is closed now</t>
  </si>
  <si>
    <t xml:space="preserve"> =UPPER(A17)</t>
  </si>
  <si>
    <t>Exercise 1</t>
  </si>
  <si>
    <t>good</t>
  </si>
  <si>
    <t>how are you?</t>
  </si>
  <si>
    <t>Exercise 2</t>
  </si>
  <si>
    <t>Use UPPER to change Col A and then use EXACT function to match the 2 strings to see if they are same or not</t>
  </si>
  <si>
    <t>match</t>
  </si>
  <si>
    <t>MATCH</t>
  </si>
  <si>
    <t>Match</t>
  </si>
  <si>
    <t>correct</t>
  </si>
  <si>
    <t>CORECT</t>
  </si>
  <si>
    <t>LOWER</t>
  </si>
  <si>
    <t>This function converts the entire text string into lowercase letters</t>
  </si>
  <si>
    <t xml:space="preserve"> =LOWER(Text)</t>
  </si>
  <si>
    <t>String for which you want to convert all letters into lowercase</t>
  </si>
  <si>
    <t>Convert the values in Text column into lowercase</t>
  </si>
  <si>
    <t xml:space="preserve"> =LOWER(A15)</t>
  </si>
  <si>
    <t xml:space="preserve"> =LOWER(A16)</t>
  </si>
  <si>
    <t>SUPERSTORE IS CLOSED NOW</t>
  </si>
  <si>
    <t xml:space="preserve"> =LOWER(A17)</t>
  </si>
  <si>
    <t>GOOD</t>
  </si>
  <si>
    <t>HOW are you?</t>
  </si>
  <si>
    <t>Use LOWER to change Col A and then use EXACT function to match the 2 strings to see if they are same or not</t>
  </si>
  <si>
    <t>mATCH</t>
  </si>
  <si>
    <t>LEN</t>
  </si>
  <si>
    <t>This function returns the number of characters in a string (text or numeric value). It also counts the spaces and special characters. This function is used for data manipulation along with LEFT, RIGHT functions</t>
  </si>
  <si>
    <t xml:space="preserve"> =LEN(Text)</t>
  </si>
  <si>
    <t>String for which you want to find the length</t>
  </si>
  <si>
    <t xml:space="preserve"> =LEN(A16)</t>
  </si>
  <si>
    <t xml:space="preserve">EXCEL </t>
  </si>
  <si>
    <t xml:space="preserve"> =LEN(A17)</t>
  </si>
  <si>
    <t>SUPERSTORE IS CLOSED ;</t>
  </si>
  <si>
    <t xml:space="preserve"> =LEN(A18)</t>
  </si>
  <si>
    <t xml:space="preserve"> =LEN(A19)</t>
  </si>
  <si>
    <t>Find the length of the followig strings</t>
  </si>
  <si>
    <t>Phone Number is +(0)1234</t>
  </si>
  <si>
    <t>This is used for data cleaning</t>
  </si>
  <si>
    <t>LEFT</t>
  </si>
  <si>
    <t>This function returns the number of specified characters from the start of the string. This function is used for data manipulation. A way to remember is that you read from left to right - so that is why from the start of the string</t>
  </si>
  <si>
    <t xml:space="preserve"> =LEFT(Text, [num_chars])</t>
  </si>
  <si>
    <t>String from which you want to find letters</t>
  </si>
  <si>
    <t>num_chars</t>
  </si>
  <si>
    <t>Number of characters you want to read from the left</t>
  </si>
  <si>
    <t>Use LEFT function on the following strings</t>
  </si>
  <si>
    <t xml:space="preserve"> =LEFT(A19,5)</t>
  </si>
  <si>
    <t>EXCEL IS WOW</t>
  </si>
  <si>
    <t xml:space="preserve"> =LEFT(A20,8)</t>
  </si>
  <si>
    <t xml:space="preserve"> =LEFT(A21,15)</t>
  </si>
  <si>
    <t xml:space="preserve"> =LEFT(A22,1)</t>
  </si>
  <si>
    <t xml:space="preserve"> =LEFT(A23,LEN(A23)-7)</t>
  </si>
  <si>
    <t>Use LEFT function to get the results in the 2nd column</t>
  </si>
  <si>
    <t>Phone Number is +(0</t>
  </si>
  <si>
    <t>This is used for data cle</t>
  </si>
  <si>
    <t>Use LEFT and LEN function together to only remove last 5 characters of the string</t>
  </si>
  <si>
    <t>RIGHT</t>
  </si>
  <si>
    <t>This function returns the number of specified characters from the end of the string. This function is used for data manipulation. A way to remember is that you read from left to right - so that is why from the end of the string</t>
  </si>
  <si>
    <t xml:space="preserve"> =RIGHT(Text, [num_chars])</t>
  </si>
  <si>
    <t>Use RIGHT function on the following strings</t>
  </si>
  <si>
    <t xml:space="preserve"> =RIGHT(A19,3)</t>
  </si>
  <si>
    <t xml:space="preserve"> =RIGHT(A20,4)</t>
  </si>
  <si>
    <t xml:space="preserve"> =RIGHT(A21,6)</t>
  </si>
  <si>
    <t xml:space="preserve"> =RIGHT(A22,1)</t>
  </si>
  <si>
    <t xml:space="preserve"> =RIGHT(A23,LEN(A23)-16)</t>
  </si>
  <si>
    <t>Use RIGHT function to get the results in the 2nd column</t>
  </si>
  <si>
    <t>is +(0)1234</t>
  </si>
  <si>
    <t>data cleaning</t>
  </si>
  <si>
    <t>Use RIGHT and LEN function together to only remove first 5 characters of the string</t>
  </si>
  <si>
    <t xml:space="preserve"> Number is +(0)1234</t>
  </si>
  <si>
    <t>is used for data cleaning</t>
  </si>
  <si>
    <t>MID</t>
  </si>
  <si>
    <t>This function returns the number of specified characters from the left to right but, you can change the start of the string thus making MID function different from LEFT function.</t>
  </si>
  <si>
    <t xml:space="preserve"> =MID(Text, [starting_position], [num_chars])</t>
  </si>
  <si>
    <t>starting_position</t>
  </si>
  <si>
    <t>Starting position of the string</t>
  </si>
  <si>
    <t>Number of characters you want to read from the starting of the string</t>
  </si>
  <si>
    <t>Laptop restarted</t>
  </si>
  <si>
    <t xml:space="preserve"> =MID(A22,4,6)</t>
  </si>
  <si>
    <t xml:space="preserve"> =MID(A23,2,9)</t>
  </si>
  <si>
    <t xml:space="preserve"> =MID(A24,10,9)</t>
  </si>
  <si>
    <t>90 EMPLOYEES</t>
  </si>
  <si>
    <t xml:space="preserve"> =MID(A25,2,6)</t>
  </si>
  <si>
    <t>Use MID function to get the results in the 2nd column</t>
  </si>
  <si>
    <t>is +(0)1</t>
  </si>
  <si>
    <t>for data clean</t>
  </si>
  <si>
    <t>How have you been?</t>
  </si>
  <si>
    <t>you</t>
  </si>
  <si>
    <t>Any questions?</t>
  </si>
  <si>
    <t>quest</t>
  </si>
  <si>
    <t>DATE</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</si>
  <si>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</si>
  <si>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</si>
  <si>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Year</t>
  </si>
  <si>
    <t>Year of the date. Try to supply the entire 4 digits</t>
  </si>
  <si>
    <t>Month</t>
  </si>
  <si>
    <t>Month of the date in numeric format like for January it would be 1, for February it would be 2</t>
  </si>
  <si>
    <t>Day</t>
  </si>
  <si>
    <t>Day of the date - it needs to be in numeric format like 1, 2, 3 …and till 31</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</si>
  <si>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</si>
  <si>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</si>
  <si>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</si>
  <si>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</si>
  <si>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</si>
  <si>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</si>
  <si>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</si>
  <si>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Date</t>
  </si>
  <si>
    <t>DATEVALUE</t>
  </si>
  <si>
    <t>This function converts a date which has been entered as text to date value but in number format</t>
  </si>
  <si>
    <t xml:space="preserve"> =DATEVALUE(DATE_TEXT)</t>
  </si>
  <si>
    <t>DATE_TEXT</t>
  </si>
  <si>
    <t>Date which needs to be converted from text to date format</t>
  </si>
  <si>
    <t>Text Date</t>
  </si>
  <si>
    <t>05/05/2017</t>
  </si>
  <si>
    <t xml:space="preserve"> =DATEVALUE(A15)</t>
  </si>
  <si>
    <t>02/12/2018</t>
  </si>
  <si>
    <t xml:space="preserve"> =DATEVALUE(A16)</t>
  </si>
  <si>
    <t>01/03/2015</t>
  </si>
  <si>
    <t xml:space="preserve"> =DATEVALUE(A17)</t>
  </si>
  <si>
    <t>02/08/2014</t>
  </si>
  <si>
    <t xml:space="preserve"> =DATEVALUE(A18)</t>
  </si>
  <si>
    <t>Use DATEVALUE function to calculate dates and then change the format of the result into Date format</t>
  </si>
  <si>
    <t>31/12/2015</t>
  </si>
  <si>
    <t>3/01/2010</t>
  </si>
  <si>
    <t>11/12/2015</t>
  </si>
  <si>
    <t>01/01/2014</t>
  </si>
  <si>
    <t>TODAY</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</si>
  <si>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</si>
  <si>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</si>
  <si>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</si>
  <si>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</si>
  <si>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</si>
  <si>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</si>
  <si>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</si>
  <si>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NOW</t>
  </si>
  <si>
    <t>This function returns current date and time in excel date and time format</t>
  </si>
  <si>
    <t xml:space="preserve"> =NOW()</t>
  </si>
  <si>
    <t>Identify today's date and time</t>
  </si>
  <si>
    <t xml:space="preserve"> =NOW()-5</t>
  </si>
  <si>
    <t>Use NOW() to calculate values in COL A</t>
  </si>
  <si>
    <t>Current date and time</t>
  </si>
  <si>
    <t>Date and Time 7 days ago</t>
  </si>
  <si>
    <t>DAY</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</si>
  <si>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</si>
  <si>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</si>
  <si>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</si>
  <si>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</si>
  <si>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</si>
  <si>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</si>
  <si>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</si>
  <si>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</si>
  <si>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</si>
  <si>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MONTH</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</si>
  <si>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</si>
  <si>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</si>
  <si>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</si>
  <si>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</si>
  <si>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</si>
  <si>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Use NOW() to calculate values in COL A and then use MONTH function to extract month</t>
  </si>
  <si>
    <t>Results from Month function</t>
  </si>
  <si>
    <t>Date and Time 30 days ago</t>
  </si>
  <si>
    <t>YEAR</t>
  </si>
  <si>
    <t>This function returns the year month in a date in a number format. Do note that at times, you may have to change the format of the cell to numeric to get the date in numeric format</t>
  </si>
  <si>
    <t xml:space="preserve"> =YEAR(SERIAL_NUMBER)</t>
  </si>
  <si>
    <t>Date from which you want to extract the year part</t>
  </si>
  <si>
    <t xml:space="preserve"> =YEAR(A16)</t>
  </si>
  <si>
    <t xml:space="preserve"> =YEAR(A17)</t>
  </si>
  <si>
    <t>Use NOW() to calculate values in COL A and then use YEAR function to extract year</t>
  </si>
  <si>
    <t>Results from Year function</t>
  </si>
  <si>
    <t>Date and Time 365 days ago</t>
  </si>
  <si>
    <t>Use YEAR, MONTH, DAY and DATE functions to get dates in COL A from Row 30 onwards. Row 29 has been done as an example</t>
  </si>
  <si>
    <t>Use this date to calculate dates from Row 30 onwards</t>
  </si>
  <si>
    <t xml:space="preserve"> =DATE(YEAR(A28),MONTH(A28)+1,DAY(A28))</t>
  </si>
  <si>
    <t>WEEKDAY</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</si>
  <si>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</si>
  <si>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 xml:space="preserve"> =WEEKDAY(SERIAL_NUMBER, [return_type])</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</si>
  <si>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</si>
  <si>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</si>
  <si>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</si>
  <si>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</si>
  <si>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</si>
  <si>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</si>
  <si>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</si>
  <si>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Use WEEKDAY() to calculate weekdays of dates mentioned in 'Date' column using 'Return Value'</t>
  </si>
  <si>
    <t>Dates</t>
  </si>
  <si>
    <t>Return Value</t>
  </si>
  <si>
    <t>If any of the dates in the column below falls on Tuesday, then change that date to Friday. Use Weekday fucntion to check weekdays with return value 1. You will have to use IF function. 1st has been done as an example</t>
  </si>
  <si>
    <t>Weekday</t>
  </si>
  <si>
    <t>New Date</t>
  </si>
  <si>
    <t>MINUTE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</si>
  <si>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</si>
  <si>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</si>
  <si>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</si>
  <si>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</si>
  <si>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</si>
  <si>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</si>
  <si>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</si>
  <si>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HOUR</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</si>
  <si>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</si>
  <si>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</si>
  <si>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</si>
  <si>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</si>
  <si>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</si>
  <si>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</si>
  <si>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</si>
  <si>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VLOOKUP</t>
  </si>
  <si>
    <t>This function is used to lookup a particular value in a table and then return data from a specific column corresponding to that value</t>
  </si>
  <si>
    <t xml:space="preserve"> =VLOOKUP(LookupValue, Table_Array, Column_Index_Num, [Range_Lookup])</t>
  </si>
  <si>
    <t>LookupValue</t>
  </si>
  <si>
    <t>The value which needs to be looked for in a particular table</t>
  </si>
  <si>
    <t>Table_Array</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</si>
  <si>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</si>
  <si>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Column_Index_Num</t>
  </si>
  <si>
    <t>If the value is present in the table, then which column consists of the value we want the function to return</t>
  </si>
  <si>
    <t>Range_Lookup</t>
  </si>
  <si>
    <t>It is optional - it has 2 values - TRUE for approximate match and FALSE (which is default value) for exact match of the value we are searching for in a table</t>
  </si>
  <si>
    <r>
      <rPr>
        <sz val="11"/>
        <color theme="1"/>
        <rFont val="Calibri"/>
      </rPr>
      <t xml:space="preserve">Below in the </t>
    </r>
    <r>
      <rPr>
        <b/>
        <sz val="11"/>
        <color theme="1"/>
        <rFont val="Calibri"/>
      </rPr>
      <t>Lookup</t>
    </r>
    <r>
      <rPr>
        <sz val="11"/>
        <color theme="1"/>
        <rFont val="Calibri"/>
      </rPr>
      <t xml:space="preserve"> table, we have cost for different parts for different car makers. Use VLOOKUP() to get costs infront of items in the second table</t>
    </r>
  </si>
  <si>
    <t>Lookup Table</t>
  </si>
  <si>
    <t>Mercedes</t>
  </si>
  <si>
    <t>BMW</t>
  </si>
  <si>
    <t>Audi</t>
  </si>
  <si>
    <t>GearBox</t>
  </si>
  <si>
    <t>Engine</t>
  </si>
  <si>
    <t>Steering</t>
  </si>
  <si>
    <t>Ignition</t>
  </si>
  <si>
    <t>CYHead</t>
  </si>
  <si>
    <t>Maker</t>
  </si>
  <si>
    <t>Spare</t>
  </si>
  <si>
    <t>Cost</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</si>
  <si>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</si>
  <si>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</si>
  <si>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</si>
  <si>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</si>
  <si>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</si>
  <si>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</si>
  <si>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</si>
  <si>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</si>
  <si>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</si>
  <si>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</si>
  <si>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Table 1</t>
  </si>
  <si>
    <t>Table 2</t>
  </si>
  <si>
    <t>Item Name</t>
  </si>
  <si>
    <t>Sales Price</t>
  </si>
  <si>
    <t>Pen</t>
  </si>
  <si>
    <t>Pencil</t>
  </si>
  <si>
    <t>Notepad</t>
  </si>
  <si>
    <t>Ink</t>
  </si>
  <si>
    <t>Table 3</t>
  </si>
  <si>
    <t>Units</t>
  </si>
  <si>
    <t>Total Profit</t>
  </si>
  <si>
    <t>Formula for Cost</t>
  </si>
  <si>
    <t>Formula for Sales Price</t>
  </si>
  <si>
    <t xml:space="preserve"> =VLOOKUP(A54,$A$46:$B$49,2,FALSE)</t>
  </si>
  <si>
    <t xml:space="preserve"> =VLOOKUP(A54,$D$46:$E$49,2,FALSE)</t>
  </si>
  <si>
    <t xml:space="preserve"> =VLOOKUP(A55,$A$46:$B$49,2,FALSE)</t>
  </si>
  <si>
    <t xml:space="preserve"> =VLOOKUP(A55,$D$46:$E$49,2,FALSE)</t>
  </si>
  <si>
    <t xml:space="preserve"> =VLOOKUP(A56,$A$46:$B$49,2,FALSE)</t>
  </si>
  <si>
    <t xml:space="preserve"> =VLOOKUP(A56,$D$46:$E$49,2,FALSE)</t>
  </si>
  <si>
    <t xml:space="preserve"> =VLOOKUP(A57,$A$46:$B$49,2,FALSE)</t>
  </si>
  <si>
    <t xml:space="preserve"> =VLOOKUP(A57,$D$46:$E$49,2,FALSE)</t>
  </si>
  <si>
    <t>Eraser</t>
  </si>
  <si>
    <t xml:space="preserve"> =VLOOKUP(A58,$A$46:$B$49,2,FALSE)</t>
  </si>
  <si>
    <t xml:space="preserve"> =VLOOKUP(A58,$D$46:$E$49,2,FALSE)</t>
  </si>
  <si>
    <t>Total Profit = (Sales Price-Cost)*Units</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</si>
  <si>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</si>
  <si>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</si>
  <si>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E Name</t>
  </si>
  <si>
    <t>Dept</t>
  </si>
  <si>
    <t>Ben</t>
  </si>
  <si>
    <t>Analytics</t>
  </si>
  <si>
    <t>Ken</t>
  </si>
  <si>
    <t>Analayst</t>
  </si>
  <si>
    <t>Rachel</t>
  </si>
  <si>
    <t>IT</t>
  </si>
  <si>
    <t>Katie</t>
  </si>
  <si>
    <t>HR</t>
  </si>
  <si>
    <t>Helen</t>
  </si>
  <si>
    <t>Table 4</t>
  </si>
  <si>
    <t>Richard</t>
  </si>
  <si>
    <r>
      <rPr>
        <sz val="11"/>
        <color theme="1"/>
        <rFont val="Calibri"/>
      </rPr>
      <t xml:space="preserve">Below in the </t>
    </r>
    <r>
      <rPr>
        <b/>
        <sz val="11"/>
        <color theme="1"/>
        <rFont val="Calibri"/>
      </rPr>
      <t>Lookup</t>
    </r>
    <r>
      <rPr>
        <sz val="11"/>
        <color theme="1"/>
        <rFont val="Calibri"/>
      </rPr>
      <t xml:space="preserve"> table, we have cost for different parts for different car makers. Use VLOOKUP() to get costs of items in the second table</t>
    </r>
  </si>
  <si>
    <t>Gearbox</t>
  </si>
  <si>
    <t>Costs</t>
  </si>
  <si>
    <t>HLOOKUP</t>
  </si>
  <si>
    <t>This function is similar to VLOOKUP. In a VLOOKUP, we look at columns, whereas in HLOOKUP, we look at rows. The HLOOKUP function looks for a value in the first row of a table, and returns a value from the same column in that table.</t>
  </si>
  <si>
    <t xml:space="preserve"> =HLOOKUP(LookupValue, Table_Array, Row_Index_Num, [Range_Lookup])</t>
  </si>
  <si>
    <t>Row_Index_Num</t>
  </si>
  <si>
    <t>If the value is present in the table, then which row consists of the value we want the function to return</t>
  </si>
  <si>
    <t>It is optional - it has 2 values - TRUE for approximate match (which is default) and FALSE for exact match of the value we are searching for in a table</t>
  </si>
  <si>
    <t>Below in the first table, we have sales commission for different cars. Use VLOOKUP() to get amount each employee will get based on car they sold</t>
  </si>
  <si>
    <t>Car Type</t>
  </si>
  <si>
    <t>VW</t>
  </si>
  <si>
    <t>Ferrari</t>
  </si>
  <si>
    <t>Commission</t>
  </si>
  <si>
    <t>Sold By</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</si>
  <si>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</si>
  <si>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t xml:space="preserve"> =HLOOKUP(B29,$B$25:$F$26,2,FALSE)</t>
  </si>
  <si>
    <t xml:space="preserve"> =HLOOKUP(B30,$B$25:$F$26,2,FALSE)</t>
  </si>
  <si>
    <t>Alex</t>
  </si>
  <si>
    <t xml:space="preserve"> =HLOOKUP(B31,$B$25:$F$26,2,FALSE)</t>
  </si>
  <si>
    <t>Gary</t>
  </si>
  <si>
    <t xml:space="preserve"> =HLOOKUP(B32,$B$25:$F$26,2,FALSE)</t>
  </si>
  <si>
    <t xml:space="preserve"> =HLOOKUP(B33,$B$25:$F$26,2,FALSE)</t>
  </si>
  <si>
    <t xml:space="preserve"> =HLOOKUP(B34,$B$25:$F$26,2,FALSE)</t>
  </si>
  <si>
    <t xml:space="preserve"> =HLOOKUP(B35,$B$25:$F$26,2,FALSE)</t>
  </si>
  <si>
    <t>Arnold</t>
  </si>
  <si>
    <t xml:space="preserve"> =HLOOKUP(B36,$B$25:$F$26,2,FALSE)</t>
  </si>
  <si>
    <r>
      <rPr>
        <sz val="11"/>
        <color theme="1"/>
        <rFont val="Calibri"/>
      </rPr>
      <t xml:space="preserve">Below in the </t>
    </r>
    <r>
      <rPr>
        <b/>
        <sz val="11"/>
        <color theme="1"/>
        <rFont val="Calibri"/>
      </rPr>
      <t>Lookup</t>
    </r>
    <r>
      <rPr>
        <sz val="11"/>
        <color theme="1"/>
        <rFont val="Calibri"/>
      </rPr>
      <t xml:space="preserve"> table, we have cost for different parts for different car makers. Use HLOOKUP() to get costs of items in the second table. First one has been done as an example</t>
    </r>
  </si>
  <si>
    <t xml:space="preserve"> =HLOOKUP(B50,$B$42:$B$47,6,FALSE)</t>
  </si>
  <si>
    <t>TRANSPOSE</t>
  </si>
  <si>
    <t>The TRANSPOSE function copies data from vertical cells to horizontal or vice versa</t>
  </si>
  <si>
    <t xml:space="preserve"> =TRANSPOSE(Range)</t>
  </si>
  <si>
    <t>Range</t>
  </si>
  <si>
    <t>Data which you want to change from vertical to horizontal or vice-versa</t>
  </si>
  <si>
    <t>How to use Transpose function</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</si>
  <si>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</si>
  <si>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</si>
  <si>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</si>
  <si>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</si>
  <si>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</si>
  <si>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</si>
  <si>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</si>
  <si>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Use TRANSPOSE function to change the cells from vertical to horizontal</t>
  </si>
  <si>
    <t>Employee ID</t>
  </si>
  <si>
    <t>Jan</t>
  </si>
  <si>
    <t>Feb</t>
  </si>
  <si>
    <t>EID</t>
  </si>
  <si>
    <t>Formula EID</t>
  </si>
  <si>
    <t xml:space="preserve"> =TRANSPOSE(A24:A26)</t>
  </si>
  <si>
    <t>Formula Jan</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</si>
  <si>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</si>
  <si>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</si>
  <si>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</si>
  <si>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</si>
  <si>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</si>
  <si>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</si>
  <si>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</si>
  <si>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</si>
  <si>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</si>
  <si>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r>
      <rPr>
        <sz val="11"/>
        <color theme="1"/>
        <rFont val="Calibri"/>
      </rPr>
      <t xml:space="preserve">Below in the </t>
    </r>
    <r>
      <rPr>
        <b/>
        <sz val="11"/>
        <color theme="1"/>
        <rFont val="Calibri"/>
      </rPr>
      <t>Lookup</t>
    </r>
    <r>
      <rPr>
        <sz val="11"/>
        <color theme="1"/>
        <rFont val="Calibri"/>
      </rPr>
      <t xml:space="preserve"> table, we have cost for different parts for different car makers. Use VLOOKUP() to get costs infront of items in the second table</t>
    </r>
  </si>
  <si>
    <r>
      <rPr>
        <sz val="11"/>
        <color theme="1"/>
        <rFont val="Calibri"/>
      </rPr>
      <t xml:space="preserve">Below in the </t>
    </r>
    <r>
      <rPr>
        <b/>
        <sz val="11"/>
        <color theme="1"/>
        <rFont val="Calibri"/>
      </rPr>
      <t>Lookup</t>
    </r>
    <r>
      <rPr>
        <sz val="11"/>
        <color theme="1"/>
        <rFont val="Calibri"/>
      </rPr>
      <t xml:space="preserve"> table, we have cost for different parts for different car makers. Use VLOOKUP() to get costs of items in the second table</t>
    </r>
  </si>
  <si>
    <t>SUM</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</si>
  <si>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</si>
  <si>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</si>
  <si>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</si>
  <si>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</si>
  <si>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</si>
  <si>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</si>
  <si>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</si>
  <si>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</si>
  <si>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</si>
  <si>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</si>
  <si>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</si>
  <si>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</si>
  <si>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</si>
  <si>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</si>
  <si>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</si>
  <si>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Total</t>
  </si>
  <si>
    <t xml:space="preserve"> =SUM(B24:B27)
</t>
  </si>
  <si>
    <t xml:space="preserve"> =C24+C25+C26+C27
</t>
  </si>
  <si>
    <t xml:space="preserve"> =SUM(D24,D25,D26,D27)
</t>
  </si>
  <si>
    <t xml:space="preserve">  =SUM(E24:E25,E26:E27)
</t>
  </si>
  <si>
    <t>Example 3</t>
  </si>
  <si>
    <t>Get the SUM of all cells below</t>
  </si>
  <si>
    <t>Values to be summed</t>
  </si>
  <si>
    <t xml:space="preserve"> =SUM(A34,A36,C34,C36,B35:B36)</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</si>
  <si>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</si>
  <si>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</si>
  <si>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Use IF and SUM function to calculate sum of the following values if conditions meet. If the conditions do not meet, then return value 0. First has been done as an example</t>
  </si>
  <si>
    <t>Condition to meet</t>
  </si>
  <si>
    <t>Col D</t>
  </si>
  <si>
    <t>Col E</t>
  </si>
  <si>
    <t>Col B &gt; 1</t>
  </si>
  <si>
    <t xml:space="preserve"> =IF(B54&gt;1,SUM(B54:E54),0)</t>
  </si>
  <si>
    <t>Col C &gt; 50</t>
  </si>
  <si>
    <t>Col C &gt; 500</t>
  </si>
  <si>
    <t>Col E &gt; 80</t>
  </si>
  <si>
    <t>Col D &gt; 35</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</si>
  <si>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</si>
  <si>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</si>
  <si>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</si>
  <si>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</si>
  <si>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</si>
  <si>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 xml:space="preserve"> =IF(AND(C65&gt;1,E65&gt;=2),SUM(C65:F65),0)</t>
  </si>
  <si>
    <t>Col A &gt; 5</t>
  </si>
  <si>
    <t>Col E &gt; 500</t>
  </si>
  <si>
    <t>Col A &gt; 80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</si>
  <si>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</si>
  <si>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</si>
  <si>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</si>
  <si>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</si>
  <si>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SUMIF</t>
  </si>
  <si>
    <t>This function returns the sum of the cells which meet a given criteria</t>
  </si>
  <si>
    <t xml:space="preserve"> =SUMIF(Range, Criteria, [sum_range])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</si>
  <si>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</si>
  <si>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</si>
  <si>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</si>
  <si>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</si>
  <si>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</si>
  <si>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Use SUMIF function to calculate salary of all employees in Analytics and then for Sales</t>
  </si>
  <si>
    <t>Department</t>
  </si>
  <si>
    <t>Date of Joining</t>
  </si>
  <si>
    <t>E008</t>
  </si>
  <si>
    <t>E009</t>
  </si>
  <si>
    <t>E010</t>
  </si>
  <si>
    <t>Salary for Analytics Group</t>
  </si>
  <si>
    <t xml:space="preserve"> =SUMIF(B22:B31,"Analytics",E22:E31)</t>
  </si>
  <si>
    <t xml:space="preserve"> =SUMIF(B22:B31,"IT",E22:E31)</t>
  </si>
  <si>
    <t>Use SUMIF function to calculate salary of all employees who joined before 1st Dec 2016</t>
  </si>
  <si>
    <t>Salary for employees who joined before 1st Dec'16</t>
  </si>
  <si>
    <t xml:space="preserve"> =SUMIF(D41:D50,"&lt;01-Dec-2016",E41:E50)</t>
  </si>
  <si>
    <t>Use SUMIF function to calculate salary of all employees who are AVP</t>
  </si>
  <si>
    <t>Use SUMIF function to calculate salary of all employees joined on 1st Oct 2016</t>
  </si>
  <si>
    <t>SUMPRODUCT</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</si>
  <si>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</si>
  <si>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</si>
  <si>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</si>
  <si>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</si>
  <si>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</si>
  <si>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</si>
  <si>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</si>
  <si>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</si>
  <si>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Perishable?</t>
  </si>
  <si>
    <t>No. of Units</t>
  </si>
  <si>
    <t>I001</t>
  </si>
  <si>
    <t>I002</t>
  </si>
  <si>
    <t>I003</t>
  </si>
  <si>
    <t>I004</t>
  </si>
  <si>
    <t>I005</t>
  </si>
  <si>
    <t>I006</t>
  </si>
  <si>
    <t>Total Cost</t>
  </si>
  <si>
    <t xml:space="preserve"> =SUMPRODUCT(C18:C23,D18:D23)</t>
  </si>
  <si>
    <t>Use SUMPRODUCT function to count total number of Perishable items</t>
  </si>
  <si>
    <t>Total Items</t>
  </si>
  <si>
    <t xml:space="preserve"> =SUMPRODUCT(--(B32:B37="YES"))</t>
  </si>
  <si>
    <t>Cost for Perishable Items</t>
  </si>
  <si>
    <t xml:space="preserve"> =SUMPRODUCT(--(B32:B37="YES"),C32:C37)</t>
  </si>
  <si>
    <t>Total Sales</t>
  </si>
  <si>
    <t>Use SUMPRODUCT function to count total number of non Perishable items</t>
  </si>
  <si>
    <t>Cost Non Perishable Items</t>
  </si>
  <si>
    <t>RAND</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</si>
  <si>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</si>
  <si>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</si>
  <si>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</si>
  <si>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</si>
  <si>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</si>
  <si>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</si>
  <si>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</si>
  <si>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</si>
  <si>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</si>
  <si>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</si>
  <si>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Lower Limit</t>
  </si>
  <si>
    <t>TOP</t>
  </si>
  <si>
    <t>Upper Limit</t>
  </si>
  <si>
    <t xml:space="preserve"> =RANDBETWEEN(0,100000)</t>
  </si>
  <si>
    <t xml:space="preserve"> =RANDBETWEEN(0,5000)</t>
  </si>
  <si>
    <t>ROUND</t>
  </si>
  <si>
    <t>This function rounds the numbers to specified digits.</t>
  </si>
  <si>
    <t xml:space="preserve"> =ROUND(Number,num_digits)</t>
  </si>
  <si>
    <t>Number</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</si>
  <si>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</si>
  <si>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</si>
  <si>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</si>
  <si>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</si>
  <si>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</si>
  <si>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</si>
  <si>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</si>
  <si>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</si>
  <si>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</si>
  <si>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</si>
  <si>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EVEN</t>
  </si>
  <si>
    <t>This function rounds a positive number up and negative number down to the nearest even integer</t>
  </si>
  <si>
    <t xml:space="preserve"> =EVEN(Number/Cell)</t>
  </si>
  <si>
    <t>Cell which you want to convert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</si>
  <si>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</si>
  <si>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</si>
  <si>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</si>
  <si>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</si>
  <si>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</si>
  <si>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</si>
  <si>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</si>
  <si>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</si>
  <si>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</si>
  <si>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</si>
  <si>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</si>
  <si>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</si>
  <si>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</si>
  <si>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</si>
  <si>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</si>
  <si>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</si>
  <si>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MOD</t>
  </si>
  <si>
    <t>This function returns the remainder after a number is divided by a divisor</t>
  </si>
  <si>
    <t xml:space="preserve"> =MOD(number,divisor)</t>
  </si>
  <si>
    <t>This is the number which you want to divide</t>
  </si>
  <si>
    <t>Divisor</t>
  </si>
  <si>
    <t>The number to divide with</t>
  </si>
  <si>
    <t>Use MOD function on the following examples</t>
  </si>
  <si>
    <t>Remainder</t>
  </si>
  <si>
    <t xml:space="preserve"> =MOD(A18,B18)</t>
  </si>
  <si>
    <t xml:space="preserve"> =MOD(A19,B19)</t>
  </si>
  <si>
    <t xml:space="preserve"> =MOD(A20,B20)</t>
  </si>
  <si>
    <t xml:space="preserve"> =MOD(A21,B21)</t>
  </si>
  <si>
    <t>Use MOD function to find the remainders</t>
  </si>
  <si>
    <t>Number 2</t>
  </si>
  <si>
    <t>MIN</t>
  </si>
  <si>
    <t>This function returns the smallest number in a given set of values. It ignores logical values and text</t>
  </si>
  <si>
    <t xml:space="preserve"> =MIN(Number1,Number2 and so on..)</t>
  </si>
  <si>
    <t>Number1,Number2 and so on..</t>
  </si>
  <si>
    <t>List of values from which you want to find the mimimum value</t>
  </si>
  <si>
    <t>Use MIN function to find the smallest value of the 3 numbers present for each row</t>
  </si>
  <si>
    <t>Number1</t>
  </si>
  <si>
    <t>Number2</t>
  </si>
  <si>
    <t>Number3</t>
  </si>
  <si>
    <t xml:space="preserve"> =MIN(A15:C15)</t>
  </si>
  <si>
    <t xml:space="preserve"> =MIN(A16:C16)</t>
  </si>
  <si>
    <t>b</t>
  </si>
  <si>
    <t>c</t>
  </si>
  <si>
    <t xml:space="preserve"> =MIN(A17:C17)</t>
  </si>
  <si>
    <t xml:space="preserve"> =MIN(A18:C18)</t>
  </si>
  <si>
    <t>Use MIN and IF function on the following and if the value is less than 5, then flag it as 'Less than 5' else 'Greater than equal to 5'</t>
  </si>
  <si>
    <t>MAX</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</si>
  <si>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</si>
  <si>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</si>
  <si>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</si>
  <si>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</si>
  <si>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</si>
  <si>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</si>
  <si>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</si>
  <si>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</si>
  <si>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</si>
  <si>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AVERAGE</t>
  </si>
  <si>
    <t>This function returns the average value of the given numbers - It ignores text values and blank cells</t>
  </si>
  <si>
    <t xml:space="preserve"> =AVERAGE(Number1,Number2 and so on..)</t>
  </si>
  <si>
    <t>List of values from which you want to find the average value</t>
  </si>
  <si>
    <t>Use AVERAGE function to find the smallest value of the 3 numbers present for each row</t>
  </si>
  <si>
    <t>Calculate AVERAGE for the following numbers</t>
  </si>
  <si>
    <t>SMALL</t>
  </si>
  <si>
    <t>This function returns the nth smallest number from the given set of values</t>
  </si>
  <si>
    <t xml:space="preserve"> =SMALL(Array, nth small number from the list)</t>
  </si>
  <si>
    <t>Array</t>
  </si>
  <si>
    <t>These are list of numbers from which nth smallest number needs to be found out</t>
  </si>
  <si>
    <t>nth smallest number</t>
  </si>
  <si>
    <t>The nth smallest number which needs to be found out like 5th smallest number etc</t>
  </si>
  <si>
    <t>Use SMALL function to find the nth smallest value from the set of values in the range A18:C21</t>
  </si>
  <si>
    <t>Array/List of Numbers</t>
  </si>
  <si>
    <t xml:space="preserve"> =SMALL(A18:C21,D18)</t>
  </si>
  <si>
    <t xml:space="preserve"> =SMALL(A18:C21,D19)</t>
  </si>
  <si>
    <t xml:space="preserve"> =SMALL(A18:C21,D20)</t>
  </si>
  <si>
    <t xml:space="preserve"> =SMALL(A18:C21,D21)</t>
  </si>
  <si>
    <t>Calculate nth smallest number for the following numbers</t>
  </si>
  <si>
    <t>LARGE</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</si>
  <si>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</si>
  <si>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</si>
  <si>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</si>
  <si>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</si>
  <si>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</si>
  <si>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</si>
  <si>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</si>
  <si>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</si>
  <si>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</si>
  <si>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</si>
  <si>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COUNT</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</si>
  <si>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</si>
  <si>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</si>
  <si>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</si>
  <si>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</si>
  <si>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</si>
  <si>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</si>
  <si>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</si>
  <si>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List of Numbers</t>
  </si>
  <si>
    <t xml:space="preserve"> =COUNT(A18:C18)</t>
  </si>
  <si>
    <t xml:space="preserve"> =COUNT(A19:C19)</t>
  </si>
  <si>
    <t xml:space="preserve"> </t>
  </si>
  <si>
    <t xml:space="preserve"> =COUNT(A20:C20)</t>
  </si>
  <si>
    <t xml:space="preserve"> =COUNT(A21:C21)</t>
  </si>
  <si>
    <t xml:space="preserve">Use IF function to print 'Y' if count of numbers is &gt;=2 else print 'N' </t>
  </si>
  <si>
    <t>D</t>
  </si>
  <si>
    <t>COUNTIF</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</si>
  <si>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</si>
  <si>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</si>
  <si>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</si>
  <si>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</si>
  <si>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</si>
  <si>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</si>
  <si>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 xml:space="preserve"> =COUNTIF(A18:D18,"&gt;1")</t>
  </si>
  <si>
    <t>Values = 0</t>
  </si>
  <si>
    <t xml:space="preserve"> =COUNTIF(A19:D19,"=0")</t>
  </si>
  <si>
    <t>Values &gt;= 2</t>
  </si>
  <si>
    <t xml:space="preserve"> =COUNTIF(A20:D20,"&gt;=2")</t>
  </si>
  <si>
    <t>Values &lt; 0</t>
  </si>
  <si>
    <t xml:space="preserve"> =COUNTIF(A21:D21,"&lt;0")</t>
  </si>
  <si>
    <t>Values &gt; 2</t>
  </si>
  <si>
    <t>Values &gt;= 0</t>
  </si>
  <si>
    <t>Values &gt;= 20</t>
  </si>
  <si>
    <t>Values &lt;= 0</t>
  </si>
  <si>
    <t>STDEV.S</t>
  </si>
  <si>
    <t>This function gives the standard deviation of the given set of values or range of values. In terms of statistics, the lower the standard deviation the better, as it implies that there is not much variance in the data. Blank cells, text, and error values are ignored.</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</si>
  <si>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</si>
  <si>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</si>
  <si>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</si>
  <si>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</si>
  <si>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</si>
  <si>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</si>
  <si>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</si>
  <si>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</si>
  <si>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</si>
  <si>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</si>
  <si>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CORREL</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</si>
  <si>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</si>
  <si>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 xml:space="preserve"> =CORREL([Array1],[Array2])</t>
  </si>
  <si>
    <t>[Array1],[Array2]</t>
  </si>
  <si>
    <t>The 2 different arrays for which you want to calculate correlation</t>
  </si>
  <si>
    <t>Calculate correlation between Age and Weight for the following set of numbers</t>
  </si>
  <si>
    <t>Age</t>
  </si>
  <si>
    <t>Weight</t>
  </si>
  <si>
    <t>Correlation</t>
  </si>
  <si>
    <t xml:space="preserve"> =CORREL(A17:A26,B17:B26)</t>
  </si>
  <si>
    <t>Calculate correlation between Age and Height for the following set of numbers</t>
  </si>
  <si>
    <t>Height</t>
  </si>
  <si>
    <t>MEDIAN</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</si>
  <si>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</si>
  <si>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</si>
  <si>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</si>
  <si>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</si>
  <si>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</si>
  <si>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Table A</t>
  </si>
  <si>
    <t>Median</t>
  </si>
  <si>
    <t>Table B</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</si>
  <si>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</si>
  <si>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</si>
  <si>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</si>
  <si>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PMT, NPER, PV, FV</t>
  </si>
  <si>
    <t>What does PMT do?</t>
  </si>
  <si>
    <t>It calculates the payment of a loan based on constant number of payments and a fixed interest rate</t>
  </si>
  <si>
    <t xml:space="preserve"> =PMT(rate,nper, pv, [fv], [type])</t>
  </si>
  <si>
    <t>Rate</t>
  </si>
  <si>
    <t>Interest Rate</t>
  </si>
  <si>
    <t>Nper</t>
  </si>
  <si>
    <t>Number of payments</t>
  </si>
  <si>
    <t>PV</t>
  </si>
  <si>
    <t>Present Value of loan taken</t>
  </si>
  <si>
    <t>FV and Type</t>
  </si>
  <si>
    <t>FV and Type are both optional arguments with FV standing for future value of the loan. Types tells whether the payment will be made at the end of the month or not</t>
  </si>
  <si>
    <t>Suppose person ABC buys a car and agrees to a monthly payment based on an interest rate of 4% over 4 years (i.e. 48 monthly payments). The loan amount is $80000</t>
  </si>
  <si>
    <t>Since payments will be monthly, dividing interest rate by 12</t>
  </si>
  <si>
    <t>NPER</t>
  </si>
  <si>
    <t>The PMT is negative i.e. highlighted red because it is implying that ABC will have to give this much amount of money every month</t>
  </si>
  <si>
    <t>PMT</t>
  </si>
  <si>
    <t xml:space="preserve"> =PMT(B24,B25,B26)</t>
  </si>
  <si>
    <t>What does NPER do?</t>
  </si>
  <si>
    <t>It calculates the number of payments required based on fixed interest rate, constant periodic payments</t>
  </si>
  <si>
    <t xml:space="preserve"> =NPER(rate,pmt, pv, [fv], [type])</t>
  </si>
  <si>
    <t>Regular Payment amount</t>
  </si>
  <si>
    <t>ABC will have to make 59 motnhly payments of $1,500</t>
  </si>
  <si>
    <t xml:space="preserve"> =NPER(B50,B51,B52)</t>
  </si>
  <si>
    <t>What does PV do?</t>
  </si>
  <si>
    <t>It tells the present worth of the future payments (present value)</t>
  </si>
  <si>
    <t xml:space="preserve"> =PV(rate,nper, pmt, [fv], [type])</t>
  </si>
  <si>
    <t>Present Value of 48 future payments of $1,806 is $79,986</t>
  </si>
  <si>
    <t xml:space="preserve"> =PV(B76,B78,B77)</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</si>
  <si>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</si>
  <si>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</si>
  <si>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</si>
  <si>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</si>
  <si>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</si>
  <si>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If FV is $0, it implies that we will be able to repay the loan of $80,000 we had initially taken by paying 48 monthly installments of $1,806 each</t>
  </si>
  <si>
    <t>FV</t>
  </si>
  <si>
    <t xml:space="preserve"> =FV(B102,B104,B103,B79)</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</si>
  <si>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</si>
  <si>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</si>
  <si>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</si>
  <si>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</si>
  <si>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</si>
  <si>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</si>
  <si>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</si>
  <si>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</si>
  <si>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</si>
  <si>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</si>
  <si>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</si>
  <si>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What Does It Do ?</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</si>
  <si>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</si>
  <si>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</si>
  <si>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</si>
  <si>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</si>
  <si>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</si>
  <si>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</si>
  <si>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</si>
  <si>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This table is used to find a value based on a specified name and month.</t>
  </si>
  <si>
    <t>The =VLOOKUP() is used to scan down to find the name.</t>
  </si>
  <si>
    <t>Code</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</si>
  <si>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</si>
  <si>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</si>
  <si>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</si>
  <si>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</si>
  <si>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</si>
  <si>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</si>
  <si>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</si>
  <si>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</si>
  <si>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</si>
  <si>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</si>
  <si>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</si>
  <si>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</si>
  <si>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</si>
  <si>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</si>
  <si>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</si>
  <si>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</si>
  <si>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</si>
  <si>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</si>
  <si>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</si>
  <si>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</si>
  <si>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</si>
  <si>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</si>
  <si>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</si>
  <si>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</si>
  <si>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</si>
  <si>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</si>
  <si>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</si>
  <si>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</si>
  <si>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</si>
  <si>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</si>
  <si>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</si>
  <si>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</si>
  <si>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</si>
  <si>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</si>
  <si>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</si>
  <si>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</si>
  <si>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Vauxhall</t>
  </si>
  <si>
    <t>Ford</t>
  </si>
  <si>
    <t xml:space="preserve"> =VLOOKUP(C81,F75:I79,MATCH(B81,G74:I74,0)+1,FALSE)</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</si>
  <si>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</si>
  <si>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</si>
  <si>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</si>
  <si>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</si>
  <si>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</si>
  <si>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</si>
  <si>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</si>
  <si>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</si>
  <si>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</si>
  <si>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</si>
  <si>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</si>
  <si>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</si>
  <si>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</si>
  <si>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</si>
  <si>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</si>
  <si>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</si>
  <si>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</si>
  <si>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</si>
  <si>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</si>
  <si>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</si>
  <si>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</si>
  <si>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</si>
  <si>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</si>
  <si>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</si>
  <si>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</si>
  <si>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</si>
  <si>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</si>
  <si>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</si>
  <si>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</si>
  <si>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 Cost</t>
  </si>
  <si>
    <t>Discount</t>
  </si>
  <si>
    <t>Formula for :</t>
  </si>
  <si>
    <t xml:space="preserve"> =VLOOKUP(C126,C114:D116,2,FALSE)</t>
  </si>
  <si>
    <t xml:space="preserve"> =VLOOKUP(D126,F114:I116,MATCH(C126,G113:I113,0)+1,TRUE)</t>
  </si>
  <si>
    <t xml:space="preserve"> =(D126*E126)-(D126*E126*F126)</t>
  </si>
  <si>
    <t>HLOOKUP(I3,$A$2:$G$7,6,FALSE)</t>
  </si>
  <si>
    <t>HLOOKUP(I3,$A$2:$G$7,2)</t>
  </si>
  <si>
    <t>HLOOKUP(I3,$A$2:$G$7,5)</t>
  </si>
  <si>
    <t>HLOOKUP(I3,$A$3:$G$7,5,FALSE)</t>
  </si>
  <si>
    <t>Cust ID</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</si>
  <si>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</si>
  <si>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</si>
  <si>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</si>
  <si>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</si>
  <si>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</si>
  <si>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</si>
  <si>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=TRANSPOSE(Range)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</si>
</sst>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quot;#,##0"/>
    <numFmt numFmtId="165" formatCode="&quot;£&quot;#,##0"/>
    <numFmt numFmtId="166" formatCode="&quot;£&quot;#,##0.00;[Red]\-&quot;£&quot;#,##0.00"/>
    <numFmt numFmtId="167" formatCode="&quot;£&quot;#,##0;[Red]\-&quot;£&quot;#,##0"/>
    <numFmt numFmtId="168" formatCode="&quot;$&quot;#,##0.00"/>
    <numFmt numFmtId="169" formatCode="[$$-409]#,##0;[Red][$$-409]#,##0"/>
    <numFmt numFmtId="170" formatCode="&quot;£&quot;#,##0_);[Red]\(&quot;£&quot;#,##0\)"/>
    <numFmt numFmtId="171" formatCode="[$$-409]#,##0.00_ ;[Red]\-[$$-409]#,##0.00\ "/>
    <numFmt numFmtId="172" formatCode="[$$-409]#,##0_ ;[Red]\-[$$-409]#,##0\ "/>
    <numFmt numFmtId="173" formatCode="[$$-409]#,##0"/>
    <numFmt numFmtId="174" formatCode="_-[$$-409]* #,##0.00_ ;_-[$$-409]* \-#,##0.00\ ;_-[$$-409]* &quot;-&quot;??_ ;_-@_ "/>
    <numFmt numFmtId="175" formatCode="&quot;£&quot;#,##0.00"/>
    <numFmt numFmtId="176" formatCode="#,##0.0000000"/>
    <numFmt numFmtId="177" formatCode="#,##0.000"/>
    <numFmt numFmtId="178" formatCode="#,##0.0000"/>
  </numFmts>
  <fonts count="30">
    <font>
      <sz val="11"/>
      <color theme="1"/>
      <name val="Calibri"/>
      <scheme val="minor"/>
    </font>
    <font>
      <b/>
      <sz val="24"/>
      <color theme="1"/>
      <name val="Calibri"/>
    </font>
    <font>
      <sz val="11"/>
      <color theme="1"/>
      <name val="Calibri"/>
    </font>
    <font>
      <b/>
      <sz val="14"/>
      <color theme="1"/>
      <name val="Calibri"/>
    </font>
    <font>
      <sz val="11"/>
      <color theme="1"/>
      <name val="Calibri"/>
    </font>
    <font>
      <b/>
      <sz val="12"/>
      <color rgb="FF0070C0"/>
      <name val="Calibri"/>
    </font>
    <font>
      <b/>
      <sz val="12"/>
      <color theme="1"/>
      <name val="Calibri"/>
    </font>
    <font>
      <b/>
      <sz val="11"/>
      <color theme="1"/>
      <name val="Calibri"/>
    </font>
    <font>
      <sz val="11"/>
      <name val="Calibri"/>
    </font>
    <font>
      <b/>
      <sz val="11"/>
      <color rgb="FFFF0000"/>
      <name val="Calibri"/>
    </font>
    <font>
      <sz val="11"/>
      <color theme="1"/>
      <name val="Calibri"/>
      <scheme val="minor"/>
    </font>
    <font>
      <sz val="10"/>
      <color theme="1"/>
      <name val="Barclays Serif"/>
    </font>
    <font>
      <sz val="10"/>
      <color rgb="FF0000FF"/>
      <name val="Barclays Serif"/>
    </font>
    <font>
      <sz val="11"/>
      <color rgb="FF0000FF"/>
      <name val="Calibri"/>
    </font>
    <font>
      <sz val="11"/>
      <color rgb="FFFF0000"/>
      <name val="Calibri"/>
    </font>
    <font>
      <b/>
      <sz val="11"/>
      <color theme="1"/>
      <name val="Calibri"/>
    </font>
    <font>
      <b/>
      <sz val="14"/>
      <color theme="1"/>
      <name val="Barclays Serif"/>
    </font>
    <font>
      <b/>
      <sz val="14"/>
      <color rgb="FF000000"/>
      <name val="Barclays Serif"/>
    </font>
    <font>
      <i/>
      <sz val="8"/>
      <color theme="1"/>
      <name val="Barclays Serif"/>
    </font>
    <font>
      <b/>
      <sz val="10"/>
      <color rgb="FFFFFFFF"/>
      <name val="Barclays Serif"/>
    </font>
    <font>
      <sz val="10"/>
      <color rgb="FF800080"/>
      <name val="Barclays Serif"/>
    </font>
    <font>
      <b/>
      <sz val="10"/>
      <color rgb="FF000000"/>
      <name val="Barclays Serif"/>
    </font>
    <font>
      <b/>
      <sz val="10"/>
      <color rgb="FF333333"/>
      <name val="Barclays Serif"/>
    </font>
    <font>
      <sz val="10"/>
      <color rgb="FF333333"/>
      <name val="Barclays Serif"/>
    </font>
    <font>
      <sz val="10"/>
      <color rgb="FFFF00FF"/>
      <name val="Barclays Serif"/>
    </font>
    <font>
      <sz val="10"/>
      <color rgb="FF008000"/>
      <name val="Barclays Serif"/>
    </font>
    <font>
      <b/>
      <sz val="10"/>
      <color theme="1"/>
      <name val="Barclays Serif"/>
    </font>
    <font>
      <sz val="10"/>
      <color rgb="FF000000"/>
      <name val="Barclays Serif"/>
    </font>
    <font>
      <sz val="10"/>
      <color rgb="FFFF0000"/>
      <name val="Barclays Serif"/>
    </font>
    <font>
      <sz val="10"/>
      <color rgb="FFFFFFFF"/>
      <name val="Barclays Serif"/>
    </font>
  </fonts>
  <fills count="4">
    <fill>
      <patternFill patternType="none"/>
    </fill>
    <fill>
      <patternFill patternType="gray125"/>
    </fill>
    <fill>
      <patternFill patternType="solid">
        <fgColor rgb="FFFFFFFF"/>
        <bgColor rgb="FFFFFFFF"/>
      </patternFill>
    </fill>
    <fill>
      <patternFill patternType="solid">
        <fgColor rgb="FF000080"/>
        <bgColor rgb="FF000080"/>
      </patternFill>
    </fill>
  </fills>
  <borders count="46">
    <border>
      <left/>
      <right/>
      <top/>
      <bottom/>
      <diagonal/>
    </border>
    <border>
      <left/>
      <right/>
      <top/>
      <bottom style="thick">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ck">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medium">
        <color rgb="FF000000"/>
      </bottom>
      <diagonal/>
    </border>
    <border>
      <left style="double">
        <color rgb="FFFF00FF"/>
      </left>
      <right style="thin">
        <color rgb="FF000000"/>
      </right>
      <top style="double">
        <color rgb="FFFF00FF"/>
      </top>
      <bottom style="double">
        <color rgb="FFFF00FF"/>
      </bottom>
      <diagonal/>
    </border>
    <border>
      <left style="thin">
        <color rgb="FF000000"/>
      </left>
      <right style="thin">
        <color rgb="FF000000"/>
      </right>
      <top style="double">
        <color rgb="FFFF00FF"/>
      </top>
      <bottom style="double">
        <color rgb="FFFF00FF"/>
      </bottom>
      <diagonal/>
    </border>
    <border>
      <left style="thin">
        <color rgb="FF000000"/>
      </left>
      <right style="double">
        <color rgb="FFFF00FF"/>
      </right>
      <top style="double">
        <color rgb="FFFF00FF"/>
      </top>
      <bottom style="double">
        <color rgb="FFFF00FF"/>
      </bottom>
      <diagonal/>
    </border>
    <border>
      <left style="double">
        <color rgb="FF008000"/>
      </left>
      <right style="thin">
        <color rgb="FF000000"/>
      </right>
      <top style="double">
        <color rgb="FF008000"/>
      </top>
      <bottom style="thin">
        <color rgb="FF000000"/>
      </bottom>
      <diagonal/>
    </border>
    <border>
      <left style="thin">
        <color rgb="FF000000"/>
      </left>
      <right style="thin">
        <color rgb="FF000000"/>
      </right>
      <top style="double">
        <color rgb="FF008000"/>
      </top>
      <bottom style="thin">
        <color rgb="FF000000"/>
      </bottom>
      <diagonal/>
    </border>
    <border>
      <left style="thin">
        <color rgb="FF000000"/>
      </left>
      <right style="double">
        <color rgb="FF008000"/>
      </right>
      <top style="double">
        <color rgb="FF008000"/>
      </top>
      <bottom style="thin">
        <color rgb="FF000000"/>
      </bottom>
      <diagonal/>
    </border>
    <border>
      <left style="double">
        <color rgb="FF008000"/>
      </left>
      <right style="thin">
        <color rgb="FF000000"/>
      </right>
      <top style="thin">
        <color rgb="FF000000"/>
      </top>
      <bottom style="thin">
        <color rgb="FF000000"/>
      </bottom>
      <diagonal/>
    </border>
    <border>
      <left style="thin">
        <color rgb="FF000000"/>
      </left>
      <right style="double">
        <color rgb="FF008000"/>
      </right>
      <top style="thin">
        <color rgb="FF000000"/>
      </top>
      <bottom style="thin">
        <color rgb="FF000000"/>
      </bottom>
      <diagonal/>
    </border>
    <border>
      <left style="double">
        <color rgb="FF008000"/>
      </left>
      <right style="thin">
        <color rgb="FF000000"/>
      </right>
      <top style="thin">
        <color rgb="FF000000"/>
      </top>
      <bottom style="double">
        <color rgb="FF008000"/>
      </bottom>
      <diagonal/>
    </border>
    <border>
      <left style="thin">
        <color rgb="FF000000"/>
      </left>
      <right style="thin">
        <color rgb="FF000000"/>
      </right>
      <top style="thin">
        <color rgb="FF000000"/>
      </top>
      <bottom style="double">
        <color rgb="FF008000"/>
      </bottom>
      <diagonal/>
    </border>
    <border>
      <left style="thin">
        <color rgb="FF000000"/>
      </left>
      <right style="double">
        <color rgb="FF008000"/>
      </right>
      <top style="thin">
        <color rgb="FF000000"/>
      </top>
      <bottom style="double">
        <color rgb="FF008000"/>
      </bottom>
      <diagonal/>
    </border>
    <border>
      <left/>
      <right/>
      <top/>
      <bottom/>
      <diagonal/>
    </border>
    <border>
      <left/>
      <right/>
      <top/>
      <bottom/>
      <diagonal/>
    </border>
    <border>
      <left style="double">
        <color rgb="FF008000"/>
      </left>
      <right style="thin">
        <color rgb="FF000000"/>
      </right>
      <top style="double">
        <color rgb="FF008000"/>
      </top>
      <bottom/>
      <diagonal/>
    </border>
    <border>
      <left style="thin">
        <color rgb="FF000000"/>
      </left>
      <right style="thin">
        <color rgb="FF000000"/>
      </right>
      <top style="double">
        <color rgb="FF008000"/>
      </top>
      <bottom/>
      <diagonal/>
    </border>
    <border>
      <left style="thin">
        <color rgb="FF000000"/>
      </left>
      <right style="double">
        <color rgb="FF008000"/>
      </right>
      <top style="double">
        <color rgb="FF008000"/>
      </top>
      <bottom/>
      <diagonal/>
    </border>
    <border>
      <left style="double">
        <color rgb="FFFF00FF"/>
      </left>
      <right style="thin">
        <color rgb="FF000000"/>
      </right>
      <top style="double">
        <color rgb="FFFF00FF"/>
      </top>
      <bottom style="thin">
        <color rgb="FF000000"/>
      </bottom>
      <diagonal/>
    </border>
    <border>
      <left style="thin">
        <color rgb="FF000000"/>
      </left>
      <right style="thin">
        <color rgb="FF000000"/>
      </right>
      <top style="double">
        <color rgb="FFFF00FF"/>
      </top>
      <bottom style="thin">
        <color rgb="FF000000"/>
      </bottom>
      <diagonal/>
    </border>
    <border>
      <left style="thin">
        <color rgb="FF000000"/>
      </left>
      <right style="double">
        <color rgb="FFFF00FF"/>
      </right>
      <top style="double">
        <color rgb="FFFF00FF"/>
      </top>
      <bottom style="thin">
        <color rgb="FF000000"/>
      </bottom>
      <diagonal/>
    </border>
    <border>
      <left style="double">
        <color rgb="FFFF00FF"/>
      </left>
      <right style="thin">
        <color rgb="FF000000"/>
      </right>
      <top style="thin">
        <color rgb="FF000000"/>
      </top>
      <bottom style="thin">
        <color rgb="FF000000"/>
      </bottom>
      <diagonal/>
    </border>
    <border>
      <left style="thin">
        <color rgb="FF000000"/>
      </left>
      <right style="double">
        <color rgb="FFFF00FF"/>
      </right>
      <top style="thin">
        <color rgb="FF000000"/>
      </top>
      <bottom style="thin">
        <color rgb="FF000000"/>
      </bottom>
      <diagonal/>
    </border>
    <border>
      <left style="double">
        <color rgb="FFFF00FF"/>
      </left>
      <right style="thin">
        <color rgb="FF000000"/>
      </right>
      <top style="thin">
        <color rgb="FF000000"/>
      </top>
      <bottom style="double">
        <color rgb="FFFF00FF"/>
      </bottom>
      <diagonal/>
    </border>
    <border>
      <left style="thin">
        <color rgb="FF000000"/>
      </left>
      <right style="thin">
        <color rgb="FF000000"/>
      </right>
      <top style="thin">
        <color rgb="FF000000"/>
      </top>
      <bottom style="double">
        <color rgb="FFFF00FF"/>
      </bottom>
      <diagonal/>
    </border>
    <border>
      <left style="thin">
        <color rgb="FF000000"/>
      </left>
      <right style="double">
        <color rgb="FFFF00FF"/>
      </right>
      <top style="thin">
        <color rgb="FF000000"/>
      </top>
      <bottom style="double">
        <color rgb="FFFF00FF"/>
      </bottom>
      <diagonal/>
    </border>
  </borders>
  <cellStyleXfs count="1">
    <xf numFmtId="0" fontId="0" fillId="0" borderId="0"/>
  </cellStyleXfs>
  <cellXfs count="184">
    <xf numFmtId="0" fontId="0" fillId="0" borderId="0" xfId="0"/>
    <xf numFmtId="0" fontId="1" fillId="0" borderId="1" xfId="0" applyFont="1" applyBorder="1"/>
    <xf numFmtId="0" fontId="2" fillId="0" borderId="1" xfId="0" applyFont="1" applyBorder="1"/>
    <xf numFmtId="0" fontId="3" fillId="0" borderId="0" xfId="0" applyFont="1"/>
    <xf numFmtId="0" fontId="4" fillId="0" borderId="0" xfId="0" applyFont="1"/>
    <xf numFmtId="0" fontId="5" fillId="0" borderId="0" xfId="0" applyFont="1"/>
    <xf numFmtId="0" fontId="6" fillId="0" borderId="0" xfId="0" applyFont="1"/>
    <xf numFmtId="0" fontId="2" fillId="0" borderId="0" xfId="0" applyFont="1" applyAlignment="1">
      <alignment horizontal="left" vertical="top" wrapText="1"/>
    </xf>
    <xf numFmtId="0" fontId="7" fillId="0" borderId="2"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64" fontId="7" fillId="0" borderId="2" xfId="0" applyNumberFormat="1" applyFont="1" applyBorder="1" applyAlignment="1">
      <alignment horizont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1" fontId="7" fillId="0" borderId="2" xfId="0" applyNumberFormat="1" applyFont="1" applyBorder="1" applyAlignment="1">
      <alignment horizontal="center"/>
    </xf>
    <xf numFmtId="0" fontId="2" fillId="0" borderId="2" xfId="0" applyFont="1" applyBorder="1"/>
    <xf numFmtId="0" fontId="7" fillId="0" borderId="3" xfId="0" applyFont="1" applyBorder="1" applyAlignment="1">
      <alignment horizontal="center" vertical="center" wrapText="1"/>
    </xf>
    <xf numFmtId="0" fontId="7" fillId="0" borderId="6" xfId="0" applyFont="1" applyBorder="1" applyAlignment="1">
      <alignment horizontal="center"/>
    </xf>
    <xf numFmtId="164" fontId="2" fillId="0" borderId="2" xfId="0" applyNumberFormat="1" applyFont="1" applyBorder="1" applyAlignment="1">
      <alignment horizontal="center"/>
    </xf>
    <xf numFmtId="0" fontId="2" fillId="0" borderId="2" xfId="0" applyFont="1"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horizontal="center"/>
    </xf>
    <xf numFmtId="0" fontId="2" fillId="0" borderId="2" xfId="0" quotePrefix="1" applyFont="1" applyBorder="1" applyAlignment="1">
      <alignment horizontal="center"/>
    </xf>
    <xf numFmtId="165" fontId="7" fillId="0" borderId="2" xfId="0" applyNumberFormat="1" applyFont="1" applyBorder="1" applyAlignment="1">
      <alignment horizontal="center"/>
    </xf>
    <xf numFmtId="14" fontId="2" fillId="0" borderId="2" xfId="0" applyNumberFormat="1" applyFont="1" applyBorder="1" applyAlignment="1">
      <alignment horizontal="center"/>
    </xf>
    <xf numFmtId="20" fontId="2" fillId="0" borderId="2" xfId="0" applyNumberFormat="1" applyFont="1" applyBorder="1" applyAlignment="1">
      <alignment horizontal="center"/>
    </xf>
    <xf numFmtId="166" fontId="2" fillId="0" borderId="2" xfId="0" applyNumberFormat="1" applyFont="1" applyBorder="1" applyAlignment="1">
      <alignment horizontal="center"/>
    </xf>
    <xf numFmtId="167" fontId="2" fillId="0" borderId="2" xfId="0" applyNumberFormat="1" applyFont="1" applyBorder="1" applyAlignment="1">
      <alignment horizontal="center"/>
    </xf>
    <xf numFmtId="2" fontId="2" fillId="0" borderId="0" xfId="0" applyNumberFormat="1" applyFont="1"/>
    <xf numFmtId="0" fontId="7" fillId="0" borderId="0" xfId="0" applyFont="1" applyAlignment="1">
      <alignment horizontal="center"/>
    </xf>
    <xf numFmtId="0" fontId="2" fillId="0" borderId="0" xfId="0" applyFont="1" applyAlignment="1">
      <alignment horizontal="center"/>
    </xf>
    <xf numFmtId="0" fontId="1" fillId="0" borderId="1" xfId="0" applyFont="1" applyBorder="1" applyAlignment="1">
      <alignment vertical="top"/>
    </xf>
    <xf numFmtId="0" fontId="2" fillId="0" borderId="0" xfId="0" applyFont="1" applyAlignment="1">
      <alignment horizontal="left" vertical="center" wrapText="1"/>
    </xf>
    <xf numFmtId="168" fontId="2" fillId="0" borderId="2" xfId="0" applyNumberFormat="1" applyFont="1" applyBorder="1" applyAlignment="1">
      <alignment horizontal="center"/>
    </xf>
    <xf numFmtId="0" fontId="2" fillId="0" borderId="0" xfId="0" applyFont="1" applyAlignment="1">
      <alignment horizontal="left" vertical="top"/>
    </xf>
    <xf numFmtId="14" fontId="2" fillId="0" borderId="0" xfId="0" applyNumberFormat="1" applyFont="1" applyAlignment="1">
      <alignment horizontal="left" vertical="center" wrapText="1"/>
    </xf>
    <xf numFmtId="2" fontId="2" fillId="0" borderId="0" xfId="0" applyNumberFormat="1" applyFont="1" applyAlignment="1">
      <alignment horizontal="left" vertical="center" wrapText="1"/>
    </xf>
    <xf numFmtId="1" fontId="2" fillId="0" borderId="2" xfId="0" applyNumberFormat="1" applyFont="1" applyBorder="1" applyAlignment="1">
      <alignment horizontal="center"/>
    </xf>
    <xf numFmtId="14" fontId="2" fillId="0" borderId="2" xfId="0" quotePrefix="1" applyNumberFormat="1" applyFont="1" applyBorder="1" applyAlignment="1">
      <alignment horizontal="left"/>
    </xf>
    <xf numFmtId="14" fontId="2" fillId="0" borderId="2" xfId="0" applyNumberFormat="1" applyFont="1" applyBorder="1" applyAlignment="1">
      <alignment horizontal="left"/>
    </xf>
    <xf numFmtId="22" fontId="2" fillId="0" borderId="0" xfId="0" applyNumberFormat="1" applyFont="1"/>
    <xf numFmtId="0" fontId="10" fillId="0" borderId="0" xfId="0" applyFont="1"/>
    <xf numFmtId="14" fontId="2" fillId="0" borderId="0" xfId="0" applyNumberFormat="1" applyFont="1"/>
    <xf numFmtId="169" fontId="2" fillId="0" borderId="2" xfId="0" applyNumberFormat="1" applyFont="1" applyBorder="1" applyAlignment="1">
      <alignment horizontal="center"/>
    </xf>
    <xf numFmtId="0" fontId="11" fillId="2" borderId="15" xfId="0" applyFont="1" applyFill="1" applyBorder="1"/>
    <xf numFmtId="170" fontId="12" fillId="2" borderId="2" xfId="0" applyNumberFormat="1" applyFont="1" applyFill="1" applyBorder="1" applyAlignment="1">
      <alignment horizontal="center"/>
    </xf>
    <xf numFmtId="171" fontId="2" fillId="0" borderId="2" xfId="0" applyNumberFormat="1" applyFont="1" applyBorder="1" applyAlignment="1">
      <alignment horizontal="center"/>
    </xf>
    <xf numFmtId="171" fontId="14" fillId="0" borderId="2" xfId="0" applyNumberFormat="1" applyFont="1" applyBorder="1" applyAlignment="1">
      <alignment horizontal="center"/>
    </xf>
    <xf numFmtId="171" fontId="13" fillId="0" borderId="2" xfId="0" applyNumberFormat="1" applyFont="1" applyBorder="1" applyAlignment="1">
      <alignment horizontal="center"/>
    </xf>
    <xf numFmtId="0" fontId="7" fillId="0" borderId="6" xfId="0" applyFont="1" applyBorder="1" applyAlignment="1">
      <alignment horizontal="left"/>
    </xf>
    <xf numFmtId="172" fontId="2" fillId="0" borderId="2" xfId="0" applyNumberFormat="1" applyFont="1" applyBorder="1" applyAlignment="1">
      <alignment horizontal="center"/>
    </xf>
    <xf numFmtId="172" fontId="2" fillId="0" borderId="2" xfId="0" applyNumberFormat="1" applyFont="1" applyBorder="1"/>
    <xf numFmtId="170" fontId="12" fillId="2" borderId="2" xfId="0" applyNumberFormat="1" applyFont="1" applyFill="1" applyBorder="1" applyAlignment="1">
      <alignment horizontal="left"/>
    </xf>
    <xf numFmtId="0" fontId="2" fillId="0" borderId="2" xfId="0" applyFont="1" applyBorder="1" applyAlignment="1">
      <alignment horizontal="center" vertical="center" wrapText="1"/>
    </xf>
    <xf numFmtId="0" fontId="2" fillId="0" borderId="16" xfId="0" applyFont="1" applyBorder="1" applyAlignment="1">
      <alignment horizontal="center"/>
    </xf>
    <xf numFmtId="0" fontId="2" fillId="0" borderId="2" xfId="0" applyFont="1" applyBorder="1" applyAlignment="1">
      <alignment horizontal="left"/>
    </xf>
    <xf numFmtId="0" fontId="7" fillId="0" borderId="0" xfId="0" applyFont="1"/>
    <xf numFmtId="173" fontId="2" fillId="0" borderId="2" xfId="0" applyNumberFormat="1" applyFont="1" applyBorder="1" applyAlignment="1">
      <alignment horizontal="center"/>
    </xf>
    <xf numFmtId="173" fontId="2" fillId="0" borderId="2" xfId="0" applyNumberFormat="1" applyFont="1" applyBorder="1" applyAlignment="1">
      <alignment horizontal="center" vertical="center" wrapText="1"/>
    </xf>
    <xf numFmtId="175" fontId="2" fillId="0" borderId="2" xfId="0" applyNumberFormat="1" applyFont="1" applyBorder="1" applyAlignment="1">
      <alignment horizontal="center"/>
    </xf>
    <xf numFmtId="3" fontId="2" fillId="0" borderId="2" xfId="0" applyNumberFormat="1" applyFont="1" applyBorder="1" applyAlignment="1">
      <alignment horizontal="center"/>
    </xf>
    <xf numFmtId="165" fontId="2" fillId="0" borderId="2" xfId="0" applyNumberFormat="1" applyFont="1" applyBorder="1" applyAlignment="1">
      <alignment horizontal="center"/>
    </xf>
    <xf numFmtId="1" fontId="2" fillId="0" borderId="2" xfId="0" applyNumberFormat="1" applyFont="1" applyBorder="1" applyAlignment="1">
      <alignment horizontal="center" vertical="center" wrapText="1"/>
    </xf>
    <xf numFmtId="176" fontId="2" fillId="0" borderId="2" xfId="0" applyNumberFormat="1" applyFont="1" applyBorder="1" applyAlignment="1">
      <alignment horizontal="center"/>
    </xf>
    <xf numFmtId="4" fontId="2" fillId="0" borderId="2" xfId="0" applyNumberFormat="1" applyFont="1" applyBorder="1" applyAlignment="1">
      <alignment horizontal="center"/>
    </xf>
    <xf numFmtId="177" fontId="2" fillId="0" borderId="2" xfId="0" applyNumberFormat="1" applyFont="1" applyBorder="1" applyAlignment="1">
      <alignment horizontal="center"/>
    </xf>
    <xf numFmtId="178" fontId="2" fillId="0" borderId="2" xfId="0" applyNumberFormat="1" applyFont="1" applyBorder="1" applyAlignment="1">
      <alignment horizontal="center"/>
    </xf>
    <xf numFmtId="0" fontId="2" fillId="0" borderId="0" xfId="0" applyFont="1" applyAlignment="1">
      <alignment vertical="center" wrapText="1"/>
    </xf>
    <xf numFmtId="0" fontId="2" fillId="0" borderId="0" xfId="0" applyFont="1" applyAlignment="1">
      <alignment horizontal="left"/>
    </xf>
    <xf numFmtId="0" fontId="15" fillId="0" borderId="0" xfId="0" applyFont="1"/>
    <xf numFmtId="0" fontId="15" fillId="0" borderId="0" xfId="0" applyFont="1" applyAlignment="1">
      <alignment horizontal="center"/>
    </xf>
    <xf numFmtId="0" fontId="4" fillId="0" borderId="0" xfId="0" applyFont="1" applyAlignment="1">
      <alignment horizontal="center"/>
    </xf>
    <xf numFmtId="0" fontId="7" fillId="0" borderId="0" xfId="0" applyFont="1" applyAlignment="1">
      <alignment horizontal="left" vertical="center" wrapText="1"/>
    </xf>
    <xf numFmtId="0" fontId="2" fillId="0" borderId="0" xfId="0" applyFont="1" applyAlignment="1">
      <alignment horizontal="left" vertical="center"/>
    </xf>
    <xf numFmtId="0" fontId="2" fillId="0" borderId="2" xfId="0" applyFont="1" applyBorder="1" applyAlignment="1">
      <alignment horizontal="left" vertical="center" wrapText="1"/>
    </xf>
    <xf numFmtId="10" fontId="2" fillId="0" borderId="2" xfId="0" applyNumberFormat="1" applyFont="1" applyBorder="1" applyAlignment="1">
      <alignment horizontal="center" vertical="center" wrapText="1"/>
    </xf>
    <xf numFmtId="169" fontId="2" fillId="0" borderId="2" xfId="0" applyNumberFormat="1" applyFont="1" applyBorder="1" applyAlignment="1">
      <alignment horizontal="center" vertical="center" wrapText="1"/>
    </xf>
    <xf numFmtId="0" fontId="7" fillId="0" borderId="2" xfId="0" applyFont="1" applyBorder="1" applyAlignment="1">
      <alignment horizontal="left" vertical="center" wrapText="1"/>
    </xf>
    <xf numFmtId="1" fontId="2" fillId="0" borderId="17" xfId="0" applyNumberFormat="1" applyFont="1" applyBorder="1" applyAlignment="1">
      <alignment horizontal="center" vertical="center" wrapText="1"/>
    </xf>
    <xf numFmtId="0" fontId="16" fillId="2" borderId="15" xfId="0" applyFont="1" applyFill="1" applyBorder="1"/>
    <xf numFmtId="0" fontId="17" fillId="2" borderId="18" xfId="0" applyFont="1" applyFill="1" applyBorder="1"/>
    <xf numFmtId="0" fontId="17" fillId="2" borderId="15" xfId="0" applyFont="1" applyFill="1" applyBorder="1"/>
    <xf numFmtId="0" fontId="18" fillId="2" borderId="15" xfId="0" applyFont="1" applyFill="1" applyBorder="1"/>
    <xf numFmtId="0" fontId="19" fillId="3" borderId="15" xfId="0" applyFont="1" applyFill="1" applyBorder="1" applyAlignment="1">
      <alignment horizontal="center"/>
    </xf>
    <xf numFmtId="0" fontId="11" fillId="2" borderId="2" xfId="0" applyFont="1" applyFill="1" applyBorder="1" applyAlignment="1">
      <alignment horizontal="center"/>
    </xf>
    <xf numFmtId="0" fontId="20" fillId="2" borderId="2" xfId="0" applyFont="1" applyFill="1" applyBorder="1" applyAlignment="1">
      <alignment horizontal="center"/>
    </xf>
    <xf numFmtId="0" fontId="11" fillId="2" borderId="19" xfId="0" applyFont="1" applyFill="1" applyBorder="1"/>
    <xf numFmtId="0" fontId="11" fillId="2" borderId="20" xfId="0" applyFont="1" applyFill="1" applyBorder="1"/>
    <xf numFmtId="0" fontId="11" fillId="2" borderId="20" xfId="0" applyFont="1" applyFill="1" applyBorder="1" applyAlignment="1">
      <alignment horizontal="right"/>
    </xf>
    <xf numFmtId="0" fontId="12" fillId="2" borderId="2" xfId="0" applyFont="1" applyFill="1" applyBorder="1" applyAlignment="1">
      <alignment horizontal="center"/>
    </xf>
    <xf numFmtId="0" fontId="12" fillId="2" borderId="15" xfId="0" applyFont="1" applyFill="1" applyBorder="1"/>
    <xf numFmtId="0" fontId="21" fillId="2" borderId="21" xfId="0" applyFont="1" applyFill="1" applyBorder="1"/>
    <xf numFmtId="0" fontId="21" fillId="2" borderId="15" xfId="0" applyFont="1" applyFill="1" applyBorder="1"/>
    <xf numFmtId="0" fontId="11" fillId="2" borderId="15" xfId="0" quotePrefix="1" applyFont="1" applyFill="1" applyBorder="1"/>
    <xf numFmtId="0" fontId="22" fillId="2" borderId="2" xfId="0" applyFont="1" applyFill="1" applyBorder="1" applyAlignment="1">
      <alignment horizontal="left" vertical="top" wrapText="1"/>
    </xf>
    <xf numFmtId="0" fontId="23" fillId="2" borderId="2" xfId="0" applyFont="1" applyFill="1" applyBorder="1" applyAlignment="1">
      <alignment horizontal="left" vertical="top" wrapText="1"/>
    </xf>
    <xf numFmtId="0" fontId="23" fillId="2" borderId="2" xfId="0" quotePrefix="1" applyFont="1" applyFill="1" applyBorder="1" applyAlignment="1">
      <alignment horizontal="left" vertical="top" wrapText="1"/>
    </xf>
    <xf numFmtId="0" fontId="12" fillId="2" borderId="15" xfId="0" applyFont="1" applyFill="1" applyBorder="1" applyAlignment="1">
      <alignment horizontal="center"/>
    </xf>
    <xf numFmtId="0" fontId="24" fillId="2" borderId="2" xfId="0" applyFont="1" applyFill="1" applyBorder="1" applyAlignment="1">
      <alignment horizontal="center"/>
    </xf>
    <xf numFmtId="0" fontId="25" fillId="2" borderId="2" xfId="0" applyFont="1" applyFill="1" applyBorder="1" applyAlignment="1">
      <alignment horizontal="center"/>
    </xf>
    <xf numFmtId="170" fontId="12" fillId="2" borderId="2" xfId="0" applyNumberFormat="1" applyFont="1" applyFill="1" applyBorder="1" applyAlignment="1">
      <alignment horizontal="right"/>
    </xf>
    <xf numFmtId="0" fontId="24" fillId="2" borderId="22" xfId="0" applyFont="1" applyFill="1" applyBorder="1" applyAlignment="1">
      <alignment horizontal="center"/>
    </xf>
    <xf numFmtId="0" fontId="24" fillId="2" borderId="23" xfId="0" applyFont="1" applyFill="1" applyBorder="1" applyAlignment="1">
      <alignment horizontal="center"/>
    </xf>
    <xf numFmtId="0" fontId="24" fillId="2" borderId="24" xfId="0" applyFont="1" applyFill="1" applyBorder="1" applyAlignment="1">
      <alignment horizontal="center"/>
    </xf>
    <xf numFmtId="0" fontId="25" fillId="2" borderId="25" xfId="0" applyFont="1" applyFill="1" applyBorder="1"/>
    <xf numFmtId="0" fontId="20" fillId="2" borderId="26" xfId="0" applyFont="1" applyFill="1" applyBorder="1" applyAlignment="1">
      <alignment horizontal="center"/>
    </xf>
    <xf numFmtId="0" fontId="20" fillId="2" borderId="27" xfId="0" applyFont="1" applyFill="1" applyBorder="1" applyAlignment="1">
      <alignment horizontal="center"/>
    </xf>
    <xf numFmtId="0" fontId="25" fillId="2" borderId="28" xfId="0" applyFont="1" applyFill="1" applyBorder="1"/>
    <xf numFmtId="0" fontId="20" fillId="2" borderId="29" xfId="0" applyFont="1" applyFill="1" applyBorder="1" applyAlignment="1">
      <alignment horizontal="center"/>
    </xf>
    <xf numFmtId="0" fontId="25" fillId="2" borderId="30" xfId="0" applyFont="1" applyFill="1" applyBorder="1"/>
    <xf numFmtId="0" fontId="20" fillId="2" borderId="31" xfId="0" applyFont="1" applyFill="1" applyBorder="1" applyAlignment="1">
      <alignment horizontal="center"/>
    </xf>
    <xf numFmtId="0" fontId="20" fillId="2" borderId="32" xfId="0" applyFont="1" applyFill="1" applyBorder="1" applyAlignment="1">
      <alignment horizontal="center"/>
    </xf>
    <xf numFmtId="0" fontId="26" fillId="2" borderId="35" xfId="0" applyFont="1" applyFill="1" applyBorder="1"/>
    <xf numFmtId="0" fontId="26" fillId="2" borderId="36" xfId="0" applyFont="1" applyFill="1" applyBorder="1"/>
    <xf numFmtId="0" fontId="26" fillId="2" borderId="37" xfId="0" applyFont="1" applyFill="1" applyBorder="1"/>
    <xf numFmtId="0" fontId="26" fillId="2" borderId="25" xfId="0" applyFont="1" applyFill="1" applyBorder="1" applyAlignment="1">
      <alignment horizontal="center"/>
    </xf>
    <xf numFmtId="170" fontId="20" fillId="2" borderId="27" xfId="0" applyNumberFormat="1" applyFont="1" applyFill="1" applyBorder="1" applyAlignment="1">
      <alignment horizontal="center"/>
    </xf>
    <xf numFmtId="0" fontId="26" fillId="2" borderId="38" xfId="0" applyFont="1" applyFill="1" applyBorder="1"/>
    <xf numFmtId="9" fontId="20" fillId="2" borderId="39" xfId="0" applyNumberFormat="1" applyFont="1" applyFill="1" applyBorder="1"/>
    <xf numFmtId="9" fontId="20" fillId="2" borderId="40" xfId="0" applyNumberFormat="1" applyFont="1" applyFill="1" applyBorder="1"/>
    <xf numFmtId="0" fontId="26" fillId="2" borderId="28" xfId="0" applyFont="1" applyFill="1" applyBorder="1" applyAlignment="1">
      <alignment horizontal="center"/>
    </xf>
    <xf numFmtId="170" fontId="20" fillId="2" borderId="29" xfId="0" applyNumberFormat="1" applyFont="1" applyFill="1" applyBorder="1" applyAlignment="1">
      <alignment horizontal="center"/>
    </xf>
    <xf numFmtId="0" fontId="26" fillId="2" borderId="41" xfId="0" applyFont="1" applyFill="1" applyBorder="1"/>
    <xf numFmtId="9" fontId="20" fillId="2" borderId="2" xfId="0" applyNumberFormat="1" applyFont="1" applyFill="1" applyBorder="1"/>
    <xf numFmtId="9" fontId="20" fillId="2" borderId="42" xfId="0" applyNumberFormat="1" applyFont="1" applyFill="1" applyBorder="1"/>
    <xf numFmtId="0" fontId="26" fillId="2" borderId="30" xfId="0" applyFont="1" applyFill="1" applyBorder="1" applyAlignment="1">
      <alignment horizontal="center"/>
    </xf>
    <xf numFmtId="170" fontId="20" fillId="2" borderId="32" xfId="0" applyNumberFormat="1" applyFont="1" applyFill="1" applyBorder="1" applyAlignment="1">
      <alignment horizontal="center"/>
    </xf>
    <xf numFmtId="0" fontId="26" fillId="2" borderId="43" xfId="0" applyFont="1" applyFill="1" applyBorder="1"/>
    <xf numFmtId="9" fontId="20" fillId="2" borderId="44" xfId="0" applyNumberFormat="1" applyFont="1" applyFill="1" applyBorder="1"/>
    <xf numFmtId="9" fontId="20" fillId="2" borderId="45" xfId="0" applyNumberFormat="1" applyFont="1" applyFill="1" applyBorder="1"/>
    <xf numFmtId="9" fontId="12" fillId="2" borderId="2" xfId="0" applyNumberFormat="1" applyFont="1" applyFill="1" applyBorder="1" applyAlignment="1">
      <alignment horizontal="center"/>
    </xf>
    <xf numFmtId="0" fontId="23" fillId="2" borderId="15" xfId="0" applyFont="1" applyFill="1" applyBorder="1"/>
    <xf numFmtId="0" fontId="19" fillId="3" borderId="2" xfId="0" applyFont="1" applyFill="1" applyBorder="1" applyAlignment="1">
      <alignment horizontal="left" vertical="top" wrapText="1"/>
    </xf>
    <xf numFmtId="0" fontId="27" fillId="2" borderId="15" xfId="0" applyFont="1" applyFill="1" applyBorder="1"/>
    <xf numFmtId="0" fontId="19" fillId="3" borderId="15" xfId="0" applyFont="1" applyFill="1" applyBorder="1"/>
    <xf numFmtId="0" fontId="19" fillId="3" borderId="2" xfId="0" applyFont="1" applyFill="1" applyBorder="1" applyAlignment="1">
      <alignment horizontal="center"/>
    </xf>
    <xf numFmtId="0" fontId="27" fillId="2" borderId="2" xfId="0" applyFont="1" applyFill="1" applyBorder="1" applyAlignment="1">
      <alignment horizontal="center"/>
    </xf>
    <xf numFmtId="0" fontId="28" fillId="2" borderId="15" xfId="0" applyFont="1" applyFill="1" applyBorder="1"/>
    <xf numFmtId="0" fontId="29" fillId="2" borderId="15" xfId="0" applyFont="1" applyFill="1" applyBorder="1"/>
    <xf numFmtId="0" fontId="29" fillId="2" borderId="15" xfId="0" applyFont="1" applyFill="1" applyBorder="1" applyAlignment="1">
      <alignment horizontal="center"/>
    </xf>
    <xf numFmtId="0" fontId="11" fillId="2" borderId="15" xfId="0" applyFont="1" applyFill="1" applyBorder="1" applyAlignment="1">
      <alignment horizontal="center"/>
    </xf>
    <xf numFmtId="0" fontId="2" fillId="0" borderId="0" xfId="0" applyFont="1" applyAlignment="1">
      <alignment horizontal="left" vertical="top" wrapText="1"/>
    </xf>
    <xf numFmtId="0" fontId="0" fillId="0" borderId="0" xfId="0"/>
    <xf numFmtId="0" fontId="7" fillId="0" borderId="3" xfId="0" applyFont="1" applyBorder="1" applyAlignment="1">
      <alignment horizontal="center"/>
    </xf>
    <xf numFmtId="0" fontId="8" fillId="0" borderId="4" xfId="0" applyFont="1" applyBorder="1"/>
    <xf numFmtId="0" fontId="8" fillId="0" borderId="5" xfId="0" applyFont="1" applyBorder="1"/>
    <xf numFmtId="0" fontId="2" fillId="0" borderId="3" xfId="0" applyFont="1" applyBorder="1" applyAlignment="1">
      <alignment horizontal="center"/>
    </xf>
    <xf numFmtId="0" fontId="7" fillId="0" borderId="3" xfId="0" applyFont="1" applyBorder="1" applyAlignment="1">
      <alignment horizontal="center" vertical="center" wrapText="1"/>
    </xf>
    <xf numFmtId="0" fontId="1" fillId="0" borderId="1" xfId="0" applyFont="1" applyBorder="1" applyAlignment="1">
      <alignment horizontal="left"/>
    </xf>
    <xf numFmtId="0" fontId="8" fillId="0" borderId="1" xfId="0" applyFont="1" applyBorder="1"/>
    <xf numFmtId="0" fontId="7" fillId="0" borderId="7" xfId="0" applyFont="1" applyBorder="1" applyAlignment="1">
      <alignment horizontal="center" vertical="center" wrapText="1"/>
    </xf>
    <xf numFmtId="0" fontId="8" fillId="0" borderId="8" xfId="0" applyFont="1" applyBorder="1"/>
    <xf numFmtId="0" fontId="8" fillId="0" borderId="9" xfId="0" applyFont="1" applyBorder="1"/>
    <xf numFmtId="0" fontId="8" fillId="0" borderId="10" xfId="0" applyFont="1" applyBorder="1"/>
    <xf numFmtId="0" fontId="8" fillId="0" borderId="11" xfId="0" applyFont="1" applyBorder="1"/>
    <xf numFmtId="0" fontId="8" fillId="0" borderId="12" xfId="0" applyFont="1" applyBorder="1"/>
    <xf numFmtId="0" fontId="8" fillId="0" borderId="13" xfId="0" applyFont="1" applyBorder="1"/>
    <xf numFmtId="0" fontId="8" fillId="0" borderId="14" xfId="0" applyFont="1" applyBorder="1"/>
    <xf numFmtId="0" fontId="1" fillId="0" borderId="1" xfId="0" applyFont="1" applyBorder="1" applyAlignment="1">
      <alignment horizontal="left" wrapText="1"/>
    </xf>
    <xf numFmtId="0" fontId="2" fillId="0" borderId="3" xfId="0" applyFont="1" applyBorder="1" applyAlignment="1">
      <alignment horizontal="left"/>
    </xf>
    <xf numFmtId="0" fontId="2" fillId="0" borderId="7" xfId="0" applyFont="1" applyBorder="1" applyAlignment="1">
      <alignment horizontal="center" vertical="center" wrapText="1"/>
    </xf>
    <xf numFmtId="0" fontId="1" fillId="0" borderId="1" xfId="0" applyFont="1" applyBorder="1" applyAlignment="1">
      <alignment horizontal="left" vertical="top"/>
    </xf>
    <xf numFmtId="0" fontId="2" fillId="0" borderId="0" xfId="0" applyFont="1" applyAlignment="1">
      <alignment horizontal="left" vertical="center" wrapText="1"/>
    </xf>
    <xf numFmtId="0" fontId="2" fillId="0" borderId="3" xfId="0" applyFont="1" applyBorder="1" applyAlignment="1">
      <alignment horizontal="center" vertical="center"/>
    </xf>
    <xf numFmtId="0" fontId="7" fillId="0" borderId="4" xfId="0" applyFont="1" applyBorder="1" applyAlignment="1">
      <alignment horizontal="center"/>
    </xf>
    <xf numFmtId="0" fontId="7" fillId="0" borderId="3" xfId="0" applyFont="1" applyBorder="1" applyAlignment="1">
      <alignment horizontal="center" vertical="center"/>
    </xf>
    <xf numFmtId="1" fontId="2" fillId="0" borderId="3" xfId="0" applyNumberFormat="1" applyFont="1" applyBorder="1" applyAlignment="1">
      <alignment horizontal="center"/>
    </xf>
    <xf numFmtId="22" fontId="2" fillId="0" borderId="3" xfId="0" applyNumberFormat="1" applyFont="1" applyBorder="1" applyAlignment="1">
      <alignment horizontal="center"/>
    </xf>
    <xf numFmtId="14" fontId="2" fillId="0" borderId="3" xfId="0" quotePrefix="1" applyNumberFormat="1" applyFont="1" applyBorder="1" applyAlignment="1">
      <alignment horizontal="center"/>
    </xf>
    <xf numFmtId="14" fontId="2" fillId="0" borderId="3" xfId="0" applyNumberFormat="1" applyFont="1" applyBorder="1" applyAlignment="1">
      <alignment horizontal="center"/>
    </xf>
    <xf numFmtId="18" fontId="2" fillId="0" borderId="3" xfId="0" applyNumberFormat="1" applyFont="1" applyBorder="1" applyAlignment="1">
      <alignment horizontal="center"/>
    </xf>
    <xf numFmtId="0" fontId="13" fillId="0" borderId="3" xfId="0" applyFont="1" applyBorder="1" applyAlignment="1">
      <alignment horizontal="center"/>
    </xf>
    <xf numFmtId="0" fontId="7" fillId="0" borderId="7" xfId="0" applyFont="1" applyBorder="1" applyAlignment="1">
      <alignment horizontal="left" vertical="center" wrapText="1"/>
    </xf>
    <xf numFmtId="0" fontId="7" fillId="0" borderId="3" xfId="0" applyFont="1" applyBorder="1" applyAlignment="1">
      <alignment horizontal="center" vertical="top" wrapText="1"/>
    </xf>
    <xf numFmtId="0" fontId="14" fillId="0" borderId="3" xfId="0" applyFont="1" applyBorder="1" applyAlignment="1">
      <alignment horizontal="center"/>
    </xf>
    <xf numFmtId="0" fontId="7" fillId="0" borderId="0" xfId="0" applyFont="1" applyAlignment="1">
      <alignment horizontal="center" vertical="top"/>
    </xf>
    <xf numFmtId="174" fontId="2" fillId="0" borderId="3" xfId="0" applyNumberFormat="1" applyFont="1" applyBorder="1" applyAlignment="1">
      <alignment horizontal="center" vertical="center"/>
    </xf>
    <xf numFmtId="0" fontId="7" fillId="0" borderId="3" xfId="0" applyFont="1" applyBorder="1" applyAlignment="1">
      <alignment horizontal="center" vertical="top"/>
    </xf>
    <xf numFmtId="177" fontId="2" fillId="0" borderId="3" xfId="0" applyNumberFormat="1" applyFont="1" applyBorder="1" applyAlignment="1">
      <alignment horizontal="center"/>
    </xf>
    <xf numFmtId="178" fontId="2" fillId="0" borderId="3" xfId="0" applyNumberFormat="1" applyFont="1" applyBorder="1" applyAlignment="1">
      <alignment horizontal="center"/>
    </xf>
    <xf numFmtId="0" fontId="2" fillId="0" borderId="7" xfId="0" applyFont="1" applyBorder="1" applyAlignment="1">
      <alignment horizontal="left" vertical="top" wrapText="1"/>
    </xf>
    <xf numFmtId="0" fontId="2" fillId="0" borderId="8" xfId="0" applyFont="1" applyBorder="1" applyAlignment="1">
      <alignment horizontal="left" vertical="center" wrapText="1"/>
    </xf>
    <xf numFmtId="0" fontId="11" fillId="2" borderId="33" xfId="0" applyFont="1" applyFill="1" applyBorder="1" applyAlignment="1">
      <alignment horizontal="center"/>
    </xf>
    <xf numFmtId="0" fontId="8" fillId="0" borderId="3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5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0</xdr:col>
      <xdr:colOff>581025</xdr:colOff>
      <xdr:row>6</xdr:row>
      <xdr:rowOff>161925</xdr:rowOff>
    </xdr:from>
    <xdr:ext cx="838200" cy="1076325"/>
    <xdr:grpSp>
      <xdr:nvGrpSpPr>
        <xdr:cNvPr id="2" name="Shape 2">
          <a:extLst>
            <a:ext uri="{FF2B5EF4-FFF2-40B4-BE49-F238E27FC236}">
              <a16:creationId xmlns:a16="http://schemas.microsoft.com/office/drawing/2014/main" id="{00000000-0008-0000-0000-000002000000}"/>
            </a:ext>
          </a:extLst>
        </xdr:cNvPr>
        <xdr:cNvGrpSpPr/>
      </xdr:nvGrpSpPr>
      <xdr:grpSpPr>
        <a:xfrm>
          <a:off x="581025" y="1609725"/>
          <a:ext cx="838200" cy="1076325"/>
          <a:chOff x="4926900" y="3241838"/>
          <a:chExt cx="838200" cy="1076325"/>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4926900" y="3241838"/>
            <a:ext cx="838200" cy="1076325"/>
            <a:chOff x="4931663" y="3246600"/>
            <a:chExt cx="828675" cy="106680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4931663" y="3246600"/>
              <a:ext cx="828675"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000-000005000000}"/>
                </a:ext>
              </a:extLst>
            </xdr:cNvPr>
            <xdr:cNvCxnSpPr/>
          </xdr:nvCxnSpPr>
          <xdr:spPr>
            <a:xfrm flipH="1">
              <a:off x="4931663" y="3246600"/>
              <a:ext cx="828675" cy="10668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xdr:col>
      <xdr:colOff>19050</xdr:colOff>
      <xdr:row>6</xdr:row>
      <xdr:rowOff>161925</xdr:rowOff>
    </xdr:from>
    <xdr:ext cx="1762125" cy="1695450"/>
    <xdr:grpSp>
      <xdr:nvGrpSpPr>
        <xdr:cNvPr id="6" name="Shape 2">
          <a:extLst>
            <a:ext uri="{FF2B5EF4-FFF2-40B4-BE49-F238E27FC236}">
              <a16:creationId xmlns:a16="http://schemas.microsoft.com/office/drawing/2014/main" id="{00000000-0008-0000-0000-000006000000}"/>
            </a:ext>
          </a:extLst>
        </xdr:cNvPr>
        <xdr:cNvGrpSpPr/>
      </xdr:nvGrpSpPr>
      <xdr:grpSpPr>
        <a:xfrm>
          <a:off x="685800" y="1609725"/>
          <a:ext cx="1762125" cy="1695450"/>
          <a:chOff x="4464938" y="2932275"/>
          <a:chExt cx="1762125" cy="1695450"/>
        </a:xfrm>
      </xdr:grpSpPr>
      <xdr:grpSp>
        <xdr:nvGrpSpPr>
          <xdr:cNvPr id="7" name="Shape 6">
            <a:extLst>
              <a:ext uri="{FF2B5EF4-FFF2-40B4-BE49-F238E27FC236}">
                <a16:creationId xmlns:a16="http://schemas.microsoft.com/office/drawing/2014/main" id="{00000000-0008-0000-0000-000007000000}"/>
              </a:ext>
            </a:extLst>
          </xdr:cNvPr>
          <xdr:cNvGrpSpPr/>
        </xdr:nvGrpSpPr>
        <xdr:grpSpPr>
          <a:xfrm>
            <a:off x="4464938" y="2932275"/>
            <a:ext cx="1762125" cy="1695450"/>
            <a:chOff x="4469700" y="2937038"/>
            <a:chExt cx="1752600" cy="1685925"/>
          </a:xfrm>
        </xdr:grpSpPr>
        <xdr:sp macro="" textlink="">
          <xdr:nvSpPr>
            <xdr:cNvPr id="8" name="Shape 4">
              <a:extLst>
                <a:ext uri="{FF2B5EF4-FFF2-40B4-BE49-F238E27FC236}">
                  <a16:creationId xmlns:a16="http://schemas.microsoft.com/office/drawing/2014/main" id="{00000000-0008-0000-0000-000008000000}"/>
                </a:ext>
              </a:extLst>
            </xdr:cNvPr>
            <xdr:cNvSpPr/>
          </xdr:nvSpPr>
          <xdr:spPr>
            <a:xfrm>
              <a:off x="4469700" y="2937038"/>
              <a:ext cx="1752600" cy="1685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7">
              <a:extLst>
                <a:ext uri="{FF2B5EF4-FFF2-40B4-BE49-F238E27FC236}">
                  <a16:creationId xmlns:a16="http://schemas.microsoft.com/office/drawing/2014/main" id="{00000000-0008-0000-0000-000009000000}"/>
                </a:ext>
              </a:extLst>
            </xdr:cNvPr>
            <xdr:cNvCxnSpPr/>
          </xdr:nvCxnSpPr>
          <xdr:spPr>
            <a:xfrm flipH="1">
              <a:off x="4469700" y="2937038"/>
              <a:ext cx="1752600" cy="16859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581025</xdr:colOff>
      <xdr:row>7</xdr:row>
      <xdr:rowOff>161925</xdr:rowOff>
    </xdr:from>
    <xdr:ext cx="904875" cy="876300"/>
    <xdr:grpSp>
      <xdr:nvGrpSpPr>
        <xdr:cNvPr id="2" name="Shape 2">
          <a:extLst>
            <a:ext uri="{FF2B5EF4-FFF2-40B4-BE49-F238E27FC236}">
              <a16:creationId xmlns:a16="http://schemas.microsoft.com/office/drawing/2014/main" id="{00000000-0008-0000-0100-000002000000}"/>
            </a:ext>
          </a:extLst>
        </xdr:cNvPr>
        <xdr:cNvGrpSpPr/>
      </xdr:nvGrpSpPr>
      <xdr:grpSpPr>
        <a:xfrm>
          <a:off x="581025" y="1800225"/>
          <a:ext cx="904875" cy="876300"/>
          <a:chOff x="4893563" y="3341850"/>
          <a:chExt cx="904875" cy="876300"/>
        </a:xfrm>
      </xdr:grpSpPr>
      <xdr:grpSp>
        <xdr:nvGrpSpPr>
          <xdr:cNvPr id="8" name="Shape 8">
            <a:extLst>
              <a:ext uri="{FF2B5EF4-FFF2-40B4-BE49-F238E27FC236}">
                <a16:creationId xmlns:a16="http://schemas.microsoft.com/office/drawing/2014/main" id="{00000000-0008-0000-0100-000008000000}"/>
              </a:ext>
            </a:extLst>
          </xdr:cNvPr>
          <xdr:cNvGrpSpPr/>
        </xdr:nvGrpSpPr>
        <xdr:grpSpPr>
          <a:xfrm>
            <a:off x="4893563" y="3341850"/>
            <a:ext cx="904875" cy="876300"/>
            <a:chOff x="4898325" y="3346613"/>
            <a:chExt cx="895350" cy="866775"/>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4898325" y="3346613"/>
              <a:ext cx="89535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9">
              <a:extLst>
                <a:ext uri="{FF2B5EF4-FFF2-40B4-BE49-F238E27FC236}">
                  <a16:creationId xmlns:a16="http://schemas.microsoft.com/office/drawing/2014/main" id="{00000000-0008-0000-0100-000009000000}"/>
                </a:ext>
              </a:extLst>
            </xdr:cNvPr>
            <xdr:cNvCxnSpPr/>
          </xdr:nvCxnSpPr>
          <xdr:spPr>
            <a:xfrm flipH="1">
              <a:off x="4898325" y="3346613"/>
              <a:ext cx="895350" cy="8667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8</xdr:row>
      <xdr:rowOff>9525</xdr:rowOff>
    </xdr:from>
    <xdr:ext cx="390525" cy="257175"/>
    <xdr:grpSp>
      <xdr:nvGrpSpPr>
        <xdr:cNvPr id="3" name="Shape 2">
          <a:extLst>
            <a:ext uri="{FF2B5EF4-FFF2-40B4-BE49-F238E27FC236}">
              <a16:creationId xmlns:a16="http://schemas.microsoft.com/office/drawing/2014/main" id="{00000000-0008-0000-0100-000003000000}"/>
            </a:ext>
          </a:extLst>
        </xdr:cNvPr>
        <xdr:cNvGrpSpPr/>
      </xdr:nvGrpSpPr>
      <xdr:grpSpPr>
        <a:xfrm>
          <a:off x="428625" y="1847850"/>
          <a:ext cx="390525" cy="257175"/>
          <a:chOff x="5150738" y="3651413"/>
          <a:chExt cx="390525" cy="257175"/>
        </a:xfrm>
      </xdr:grpSpPr>
      <xdr:grpSp>
        <xdr:nvGrpSpPr>
          <xdr:cNvPr id="10" name="Shape 10">
            <a:extLst>
              <a:ext uri="{FF2B5EF4-FFF2-40B4-BE49-F238E27FC236}">
                <a16:creationId xmlns:a16="http://schemas.microsoft.com/office/drawing/2014/main" id="{00000000-0008-0000-0100-00000A000000}"/>
              </a:ext>
            </a:extLst>
          </xdr:cNvPr>
          <xdr:cNvGrpSpPr/>
        </xdr:nvGrpSpPr>
        <xdr:grpSpPr>
          <a:xfrm>
            <a:off x="5150738" y="3651413"/>
            <a:ext cx="390525" cy="257175"/>
            <a:chOff x="5155500" y="3656175"/>
            <a:chExt cx="381000" cy="247650"/>
          </a:xfrm>
        </xdr:grpSpPr>
        <xdr:sp macro="" textlink="">
          <xdr:nvSpPr>
            <xdr:cNvPr id="5" name="Shape 4">
              <a:extLst>
                <a:ext uri="{FF2B5EF4-FFF2-40B4-BE49-F238E27FC236}">
                  <a16:creationId xmlns:a16="http://schemas.microsoft.com/office/drawing/2014/main" id="{00000000-0008-0000-0100-000005000000}"/>
                </a:ext>
              </a:extLst>
            </xdr:cNvPr>
            <xdr:cNvSpPr/>
          </xdr:nvSpPr>
          <xdr:spPr>
            <a:xfrm>
              <a:off x="5155500" y="3656175"/>
              <a:ext cx="3810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 name="Shape 11">
              <a:extLst>
                <a:ext uri="{FF2B5EF4-FFF2-40B4-BE49-F238E27FC236}">
                  <a16:creationId xmlns:a16="http://schemas.microsoft.com/office/drawing/2014/main" id="{00000000-0008-0000-0100-00000B000000}"/>
                </a:ext>
              </a:extLst>
            </xdr:cNvPr>
            <xdr:cNvCxnSpPr/>
          </xdr:nvCxnSpPr>
          <xdr:spPr>
            <a:xfrm flipH="1">
              <a:off x="5155500" y="3656175"/>
              <a:ext cx="3810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6" name="image1.jp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581025</xdr:colOff>
      <xdr:row>6</xdr:row>
      <xdr:rowOff>161925</xdr:rowOff>
    </xdr:from>
    <xdr:ext cx="952500" cy="1076325"/>
    <xdr:grpSp>
      <xdr:nvGrpSpPr>
        <xdr:cNvPr id="2" name="Shape 2">
          <a:extLst>
            <a:ext uri="{FF2B5EF4-FFF2-40B4-BE49-F238E27FC236}">
              <a16:creationId xmlns:a16="http://schemas.microsoft.com/office/drawing/2014/main" id="{00000000-0008-0000-0200-000002000000}"/>
            </a:ext>
          </a:extLst>
        </xdr:cNvPr>
        <xdr:cNvGrpSpPr/>
      </xdr:nvGrpSpPr>
      <xdr:grpSpPr>
        <a:xfrm>
          <a:off x="581025" y="1609725"/>
          <a:ext cx="952500" cy="1076325"/>
          <a:chOff x="4869750" y="3241838"/>
          <a:chExt cx="952500" cy="1076325"/>
        </a:xfrm>
      </xdr:grpSpPr>
      <xdr:grpSp>
        <xdr:nvGrpSpPr>
          <xdr:cNvPr id="12" name="Shape 12">
            <a:extLst>
              <a:ext uri="{FF2B5EF4-FFF2-40B4-BE49-F238E27FC236}">
                <a16:creationId xmlns:a16="http://schemas.microsoft.com/office/drawing/2014/main" id="{00000000-0008-0000-0200-00000C000000}"/>
              </a:ext>
            </a:extLst>
          </xdr:cNvPr>
          <xdr:cNvGrpSpPr/>
        </xdr:nvGrpSpPr>
        <xdr:grpSpPr>
          <a:xfrm>
            <a:off x="4869750" y="3241838"/>
            <a:ext cx="952500" cy="1076325"/>
            <a:chOff x="4874513" y="3246600"/>
            <a:chExt cx="942975" cy="10668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4874513" y="3246600"/>
              <a:ext cx="942975"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 name="Shape 13">
              <a:extLst>
                <a:ext uri="{FF2B5EF4-FFF2-40B4-BE49-F238E27FC236}">
                  <a16:creationId xmlns:a16="http://schemas.microsoft.com/office/drawing/2014/main" id="{00000000-0008-0000-0200-00000D000000}"/>
                </a:ext>
              </a:extLst>
            </xdr:cNvPr>
            <xdr:cNvCxnSpPr/>
          </xdr:nvCxnSpPr>
          <xdr:spPr>
            <a:xfrm flipH="1">
              <a:off x="4874513" y="3246600"/>
              <a:ext cx="942975" cy="10668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xdr:col>
      <xdr:colOff>19050</xdr:colOff>
      <xdr:row>7</xdr:row>
      <xdr:rowOff>0</xdr:rowOff>
    </xdr:from>
    <xdr:ext cx="4038600" cy="1657350"/>
    <xdr:grpSp>
      <xdr:nvGrpSpPr>
        <xdr:cNvPr id="3" name="Shape 2">
          <a:extLst>
            <a:ext uri="{FF2B5EF4-FFF2-40B4-BE49-F238E27FC236}">
              <a16:creationId xmlns:a16="http://schemas.microsoft.com/office/drawing/2014/main" id="{00000000-0008-0000-0200-000003000000}"/>
            </a:ext>
          </a:extLst>
        </xdr:cNvPr>
        <xdr:cNvGrpSpPr/>
      </xdr:nvGrpSpPr>
      <xdr:grpSpPr>
        <a:xfrm>
          <a:off x="800100" y="1647825"/>
          <a:ext cx="4038600" cy="1657350"/>
          <a:chOff x="3326700" y="2951325"/>
          <a:chExt cx="4038600" cy="1657350"/>
        </a:xfrm>
      </xdr:grpSpPr>
      <xdr:grpSp>
        <xdr:nvGrpSpPr>
          <xdr:cNvPr id="14" name="Shape 14">
            <a:extLst>
              <a:ext uri="{FF2B5EF4-FFF2-40B4-BE49-F238E27FC236}">
                <a16:creationId xmlns:a16="http://schemas.microsoft.com/office/drawing/2014/main" id="{00000000-0008-0000-0200-00000E000000}"/>
              </a:ext>
            </a:extLst>
          </xdr:cNvPr>
          <xdr:cNvGrpSpPr/>
        </xdr:nvGrpSpPr>
        <xdr:grpSpPr>
          <a:xfrm>
            <a:off x="3326700" y="2951325"/>
            <a:ext cx="4038600" cy="1657350"/>
            <a:chOff x="3331463" y="2956088"/>
            <a:chExt cx="4029075" cy="1647825"/>
          </a:xfrm>
        </xdr:grpSpPr>
        <xdr:sp macro="" textlink="">
          <xdr:nvSpPr>
            <xdr:cNvPr id="5" name="Shape 4">
              <a:extLst>
                <a:ext uri="{FF2B5EF4-FFF2-40B4-BE49-F238E27FC236}">
                  <a16:creationId xmlns:a16="http://schemas.microsoft.com/office/drawing/2014/main" id="{00000000-0008-0000-0200-000005000000}"/>
                </a:ext>
              </a:extLst>
            </xdr:cNvPr>
            <xdr:cNvSpPr/>
          </xdr:nvSpPr>
          <xdr:spPr>
            <a:xfrm>
              <a:off x="3331463" y="2956088"/>
              <a:ext cx="4029075" cy="1647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 name="Shape 15">
              <a:extLst>
                <a:ext uri="{FF2B5EF4-FFF2-40B4-BE49-F238E27FC236}">
                  <a16:creationId xmlns:a16="http://schemas.microsoft.com/office/drawing/2014/main" id="{00000000-0008-0000-0200-00000F000000}"/>
                </a:ext>
              </a:extLst>
            </xdr:cNvPr>
            <xdr:cNvCxnSpPr/>
          </xdr:nvCxnSpPr>
          <xdr:spPr>
            <a:xfrm flipH="1">
              <a:off x="3331463" y="2956088"/>
              <a:ext cx="4029075" cy="16478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590550</xdr:colOff>
      <xdr:row>7</xdr:row>
      <xdr:rowOff>0</xdr:rowOff>
    </xdr:from>
    <xdr:ext cx="1638300" cy="2247900"/>
    <xdr:grpSp>
      <xdr:nvGrpSpPr>
        <xdr:cNvPr id="6" name="Shape 2">
          <a:extLst>
            <a:ext uri="{FF2B5EF4-FFF2-40B4-BE49-F238E27FC236}">
              <a16:creationId xmlns:a16="http://schemas.microsoft.com/office/drawing/2014/main" id="{00000000-0008-0000-0200-000006000000}"/>
            </a:ext>
          </a:extLst>
        </xdr:cNvPr>
        <xdr:cNvGrpSpPr/>
      </xdr:nvGrpSpPr>
      <xdr:grpSpPr>
        <a:xfrm>
          <a:off x="590550" y="1647825"/>
          <a:ext cx="1638300" cy="2247900"/>
          <a:chOff x="4526850" y="2656050"/>
          <a:chExt cx="1638300" cy="2247900"/>
        </a:xfrm>
      </xdr:grpSpPr>
      <xdr:grpSp>
        <xdr:nvGrpSpPr>
          <xdr:cNvPr id="16" name="Shape 16">
            <a:extLst>
              <a:ext uri="{FF2B5EF4-FFF2-40B4-BE49-F238E27FC236}">
                <a16:creationId xmlns:a16="http://schemas.microsoft.com/office/drawing/2014/main" id="{00000000-0008-0000-0200-000010000000}"/>
              </a:ext>
            </a:extLst>
          </xdr:cNvPr>
          <xdr:cNvGrpSpPr/>
        </xdr:nvGrpSpPr>
        <xdr:grpSpPr>
          <a:xfrm>
            <a:off x="4526850" y="2656050"/>
            <a:ext cx="1638300" cy="2247900"/>
            <a:chOff x="4531613" y="2660813"/>
            <a:chExt cx="1628775" cy="2238375"/>
          </a:xfrm>
        </xdr:grpSpPr>
        <xdr:sp macro="" textlink="">
          <xdr:nvSpPr>
            <xdr:cNvPr id="7" name="Shape 4">
              <a:extLst>
                <a:ext uri="{FF2B5EF4-FFF2-40B4-BE49-F238E27FC236}">
                  <a16:creationId xmlns:a16="http://schemas.microsoft.com/office/drawing/2014/main" id="{00000000-0008-0000-0200-000007000000}"/>
                </a:ext>
              </a:extLst>
            </xdr:cNvPr>
            <xdr:cNvSpPr/>
          </xdr:nvSpPr>
          <xdr:spPr>
            <a:xfrm>
              <a:off x="4531613" y="2660813"/>
              <a:ext cx="1628775" cy="2238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flipH="1">
              <a:off x="4531613" y="2660813"/>
              <a:ext cx="1628775" cy="22383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8" name="image1.jp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581025</xdr:colOff>
      <xdr:row>8</xdr:row>
      <xdr:rowOff>161925</xdr:rowOff>
    </xdr:from>
    <xdr:ext cx="904875" cy="876300"/>
    <xdr:grpSp>
      <xdr:nvGrpSpPr>
        <xdr:cNvPr id="2" name="Shape 2">
          <a:extLst>
            <a:ext uri="{FF2B5EF4-FFF2-40B4-BE49-F238E27FC236}">
              <a16:creationId xmlns:a16="http://schemas.microsoft.com/office/drawing/2014/main" id="{00000000-0008-0000-0300-000002000000}"/>
            </a:ext>
          </a:extLst>
        </xdr:cNvPr>
        <xdr:cNvGrpSpPr/>
      </xdr:nvGrpSpPr>
      <xdr:grpSpPr>
        <a:xfrm>
          <a:off x="581025" y="1990725"/>
          <a:ext cx="904875" cy="876300"/>
          <a:chOff x="4893563" y="3341850"/>
          <a:chExt cx="904875" cy="876300"/>
        </a:xfrm>
      </xdr:grpSpPr>
      <xdr:grpSp>
        <xdr:nvGrpSpPr>
          <xdr:cNvPr id="18" name="Shape 18">
            <a:extLst>
              <a:ext uri="{FF2B5EF4-FFF2-40B4-BE49-F238E27FC236}">
                <a16:creationId xmlns:a16="http://schemas.microsoft.com/office/drawing/2014/main" id="{00000000-0008-0000-0300-000012000000}"/>
              </a:ext>
            </a:extLst>
          </xdr:cNvPr>
          <xdr:cNvGrpSpPr/>
        </xdr:nvGrpSpPr>
        <xdr:grpSpPr>
          <a:xfrm>
            <a:off x="4893563" y="3341850"/>
            <a:ext cx="904875" cy="876300"/>
            <a:chOff x="4898325" y="3346613"/>
            <a:chExt cx="895350" cy="866775"/>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4898325" y="3346613"/>
              <a:ext cx="89535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 name="Shape 19">
              <a:extLst>
                <a:ext uri="{FF2B5EF4-FFF2-40B4-BE49-F238E27FC236}">
                  <a16:creationId xmlns:a16="http://schemas.microsoft.com/office/drawing/2014/main" id="{00000000-0008-0000-0300-000013000000}"/>
                </a:ext>
              </a:extLst>
            </xdr:cNvPr>
            <xdr:cNvCxnSpPr/>
          </xdr:nvCxnSpPr>
          <xdr:spPr>
            <a:xfrm flipH="1">
              <a:off x="4898325" y="3346613"/>
              <a:ext cx="895350" cy="8667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9</xdr:row>
      <xdr:rowOff>9525</xdr:rowOff>
    </xdr:from>
    <xdr:ext cx="390525" cy="257175"/>
    <xdr:grpSp>
      <xdr:nvGrpSpPr>
        <xdr:cNvPr id="3" name="Shape 2">
          <a:extLst>
            <a:ext uri="{FF2B5EF4-FFF2-40B4-BE49-F238E27FC236}">
              <a16:creationId xmlns:a16="http://schemas.microsoft.com/office/drawing/2014/main" id="{00000000-0008-0000-0300-000003000000}"/>
            </a:ext>
          </a:extLst>
        </xdr:cNvPr>
        <xdr:cNvGrpSpPr/>
      </xdr:nvGrpSpPr>
      <xdr:grpSpPr>
        <a:xfrm>
          <a:off x="428625" y="2038350"/>
          <a:ext cx="390525" cy="257175"/>
          <a:chOff x="5150738" y="3651413"/>
          <a:chExt cx="390525" cy="257175"/>
        </a:xfrm>
      </xdr:grpSpPr>
      <xdr:grpSp>
        <xdr:nvGrpSpPr>
          <xdr:cNvPr id="20" name="Shape 20">
            <a:extLst>
              <a:ext uri="{FF2B5EF4-FFF2-40B4-BE49-F238E27FC236}">
                <a16:creationId xmlns:a16="http://schemas.microsoft.com/office/drawing/2014/main" id="{00000000-0008-0000-0300-000014000000}"/>
              </a:ext>
            </a:extLst>
          </xdr:cNvPr>
          <xdr:cNvGrpSpPr/>
        </xdr:nvGrpSpPr>
        <xdr:grpSpPr>
          <a:xfrm>
            <a:off x="5150738" y="3651413"/>
            <a:ext cx="390525" cy="257175"/>
            <a:chOff x="5155500" y="3656175"/>
            <a:chExt cx="381000" cy="247650"/>
          </a:xfrm>
        </xdr:grpSpPr>
        <xdr:sp macro="" textlink="">
          <xdr:nvSpPr>
            <xdr:cNvPr id="5" name="Shape 4">
              <a:extLst>
                <a:ext uri="{FF2B5EF4-FFF2-40B4-BE49-F238E27FC236}">
                  <a16:creationId xmlns:a16="http://schemas.microsoft.com/office/drawing/2014/main" id="{00000000-0008-0000-0300-000005000000}"/>
                </a:ext>
              </a:extLst>
            </xdr:cNvPr>
            <xdr:cNvSpPr/>
          </xdr:nvSpPr>
          <xdr:spPr>
            <a:xfrm>
              <a:off x="5155500" y="3656175"/>
              <a:ext cx="3810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 name="Shape 21">
              <a:extLst>
                <a:ext uri="{FF2B5EF4-FFF2-40B4-BE49-F238E27FC236}">
                  <a16:creationId xmlns:a16="http://schemas.microsoft.com/office/drawing/2014/main" id="{00000000-0008-0000-0300-000015000000}"/>
                </a:ext>
              </a:extLst>
            </xdr:cNvPr>
            <xdr:cNvCxnSpPr/>
          </xdr:nvCxnSpPr>
          <xdr:spPr>
            <a:xfrm flipH="1">
              <a:off x="5155500" y="3656175"/>
              <a:ext cx="3810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6" name="image1.jp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581025</xdr:colOff>
      <xdr:row>7</xdr:row>
      <xdr:rowOff>161925</xdr:rowOff>
    </xdr:from>
    <xdr:ext cx="904875" cy="876300"/>
    <xdr:grpSp>
      <xdr:nvGrpSpPr>
        <xdr:cNvPr id="2" name="Shape 2">
          <a:extLst>
            <a:ext uri="{FF2B5EF4-FFF2-40B4-BE49-F238E27FC236}">
              <a16:creationId xmlns:a16="http://schemas.microsoft.com/office/drawing/2014/main" id="{00000000-0008-0000-0400-000002000000}"/>
            </a:ext>
          </a:extLst>
        </xdr:cNvPr>
        <xdr:cNvGrpSpPr/>
      </xdr:nvGrpSpPr>
      <xdr:grpSpPr>
        <a:xfrm>
          <a:off x="581025" y="1638300"/>
          <a:ext cx="904875" cy="876300"/>
          <a:chOff x="4893563" y="3341850"/>
          <a:chExt cx="904875" cy="876300"/>
        </a:xfrm>
      </xdr:grpSpPr>
      <xdr:grpSp>
        <xdr:nvGrpSpPr>
          <xdr:cNvPr id="22" name="Shape 22">
            <a:extLst>
              <a:ext uri="{FF2B5EF4-FFF2-40B4-BE49-F238E27FC236}">
                <a16:creationId xmlns:a16="http://schemas.microsoft.com/office/drawing/2014/main" id="{00000000-0008-0000-0400-000016000000}"/>
              </a:ext>
            </a:extLst>
          </xdr:cNvPr>
          <xdr:cNvGrpSpPr/>
        </xdr:nvGrpSpPr>
        <xdr:grpSpPr>
          <a:xfrm>
            <a:off x="4893563" y="3341850"/>
            <a:ext cx="904875" cy="876300"/>
            <a:chOff x="4898325" y="3346613"/>
            <a:chExt cx="895350" cy="866775"/>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4898325" y="3346613"/>
              <a:ext cx="89535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 name="Shape 23">
              <a:extLst>
                <a:ext uri="{FF2B5EF4-FFF2-40B4-BE49-F238E27FC236}">
                  <a16:creationId xmlns:a16="http://schemas.microsoft.com/office/drawing/2014/main" id="{00000000-0008-0000-0400-000017000000}"/>
                </a:ext>
              </a:extLst>
            </xdr:cNvPr>
            <xdr:cNvCxnSpPr/>
          </xdr:nvCxnSpPr>
          <xdr:spPr>
            <a:xfrm flipH="1">
              <a:off x="4898325" y="3346613"/>
              <a:ext cx="895350" cy="8667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8</xdr:row>
      <xdr:rowOff>9525</xdr:rowOff>
    </xdr:from>
    <xdr:ext cx="390525" cy="257175"/>
    <xdr:grpSp>
      <xdr:nvGrpSpPr>
        <xdr:cNvPr id="3" name="Shape 2">
          <a:extLst>
            <a:ext uri="{FF2B5EF4-FFF2-40B4-BE49-F238E27FC236}">
              <a16:creationId xmlns:a16="http://schemas.microsoft.com/office/drawing/2014/main" id="{00000000-0008-0000-0400-000003000000}"/>
            </a:ext>
          </a:extLst>
        </xdr:cNvPr>
        <xdr:cNvGrpSpPr/>
      </xdr:nvGrpSpPr>
      <xdr:grpSpPr>
        <a:xfrm>
          <a:off x="428625" y="1685925"/>
          <a:ext cx="390525" cy="257175"/>
          <a:chOff x="5150738" y="3651413"/>
          <a:chExt cx="390525" cy="257175"/>
        </a:xfrm>
      </xdr:grpSpPr>
      <xdr:grpSp>
        <xdr:nvGrpSpPr>
          <xdr:cNvPr id="24" name="Shape 24">
            <a:extLst>
              <a:ext uri="{FF2B5EF4-FFF2-40B4-BE49-F238E27FC236}">
                <a16:creationId xmlns:a16="http://schemas.microsoft.com/office/drawing/2014/main" id="{00000000-0008-0000-0400-000018000000}"/>
              </a:ext>
            </a:extLst>
          </xdr:cNvPr>
          <xdr:cNvGrpSpPr/>
        </xdr:nvGrpSpPr>
        <xdr:grpSpPr>
          <a:xfrm>
            <a:off x="5150738" y="3651413"/>
            <a:ext cx="390525" cy="257175"/>
            <a:chOff x="5155500" y="3656175"/>
            <a:chExt cx="381000" cy="247650"/>
          </a:xfrm>
        </xdr:grpSpPr>
        <xdr:sp macro="" textlink="">
          <xdr:nvSpPr>
            <xdr:cNvPr id="5" name="Shape 4">
              <a:extLst>
                <a:ext uri="{FF2B5EF4-FFF2-40B4-BE49-F238E27FC236}">
                  <a16:creationId xmlns:a16="http://schemas.microsoft.com/office/drawing/2014/main" id="{00000000-0008-0000-0400-000005000000}"/>
                </a:ext>
              </a:extLst>
            </xdr:cNvPr>
            <xdr:cNvSpPr/>
          </xdr:nvSpPr>
          <xdr:spPr>
            <a:xfrm>
              <a:off x="5155500" y="3656175"/>
              <a:ext cx="3810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 name="Shape 25">
              <a:extLst>
                <a:ext uri="{FF2B5EF4-FFF2-40B4-BE49-F238E27FC236}">
                  <a16:creationId xmlns:a16="http://schemas.microsoft.com/office/drawing/2014/main" id="{00000000-0008-0000-0400-000019000000}"/>
                </a:ext>
              </a:extLst>
            </xdr:cNvPr>
            <xdr:cNvCxnSpPr/>
          </xdr:nvCxnSpPr>
          <xdr:spPr>
            <a:xfrm flipH="1">
              <a:off x="5155500" y="3656175"/>
              <a:ext cx="3810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8</xdr:col>
      <xdr:colOff>333375</xdr:colOff>
      <xdr:row>31</xdr:row>
      <xdr:rowOff>114300</xdr:rowOff>
    </xdr:from>
    <xdr:ext cx="895350" cy="180975"/>
    <xdr:grpSp>
      <xdr:nvGrpSpPr>
        <xdr:cNvPr id="6" name="Shape 2">
          <a:extLst>
            <a:ext uri="{FF2B5EF4-FFF2-40B4-BE49-F238E27FC236}">
              <a16:creationId xmlns:a16="http://schemas.microsoft.com/office/drawing/2014/main" id="{00000000-0008-0000-0400-000006000000}"/>
            </a:ext>
          </a:extLst>
        </xdr:cNvPr>
        <xdr:cNvGrpSpPr/>
      </xdr:nvGrpSpPr>
      <xdr:grpSpPr>
        <a:xfrm>
          <a:off x="6619875" y="6305550"/>
          <a:ext cx="895350" cy="180975"/>
          <a:chOff x="4898325" y="3689513"/>
          <a:chExt cx="895350" cy="180975"/>
        </a:xfrm>
      </xdr:grpSpPr>
      <xdr:grpSp>
        <xdr:nvGrpSpPr>
          <xdr:cNvPr id="26" name="Shape 26">
            <a:extLst>
              <a:ext uri="{FF2B5EF4-FFF2-40B4-BE49-F238E27FC236}">
                <a16:creationId xmlns:a16="http://schemas.microsoft.com/office/drawing/2014/main" id="{00000000-0008-0000-0400-00001A000000}"/>
              </a:ext>
            </a:extLst>
          </xdr:cNvPr>
          <xdr:cNvGrpSpPr/>
        </xdr:nvGrpSpPr>
        <xdr:grpSpPr>
          <a:xfrm>
            <a:off x="4898325" y="3689513"/>
            <a:ext cx="895350" cy="180975"/>
            <a:chOff x="4903088" y="3694275"/>
            <a:chExt cx="885825" cy="171450"/>
          </a:xfrm>
        </xdr:grpSpPr>
        <xdr:sp macro="" textlink="">
          <xdr:nvSpPr>
            <xdr:cNvPr id="7" name="Shape 4">
              <a:extLst>
                <a:ext uri="{FF2B5EF4-FFF2-40B4-BE49-F238E27FC236}">
                  <a16:creationId xmlns:a16="http://schemas.microsoft.com/office/drawing/2014/main" id="{00000000-0008-0000-0400-000007000000}"/>
                </a:ext>
              </a:extLst>
            </xdr:cNvPr>
            <xdr:cNvSpPr/>
          </xdr:nvSpPr>
          <xdr:spPr>
            <a:xfrm>
              <a:off x="4903088" y="3694275"/>
              <a:ext cx="885825" cy="171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 name="Shape 27">
              <a:extLst>
                <a:ext uri="{FF2B5EF4-FFF2-40B4-BE49-F238E27FC236}">
                  <a16:creationId xmlns:a16="http://schemas.microsoft.com/office/drawing/2014/main" id="{00000000-0008-0000-0400-00001B000000}"/>
                </a:ext>
              </a:extLst>
            </xdr:cNvPr>
            <xdr:cNvCxnSpPr/>
          </xdr:nvCxnSpPr>
          <xdr:spPr>
            <a:xfrm>
              <a:off x="4903088" y="3694275"/>
              <a:ext cx="885825" cy="171450"/>
            </a:xfrm>
            <a:prstGeom prst="straightConnector1">
              <a:avLst/>
            </a:prstGeom>
            <a:noFill/>
            <a:ln w="9525" cap="flat" cmpd="sng">
              <a:solidFill>
                <a:srgbClr val="4A7DBA"/>
              </a:solidFill>
              <a:prstDash val="solid"/>
              <a:round/>
              <a:headEnd type="none" w="sm" len="sm"/>
              <a:tailEnd type="stealth" w="med" len="med"/>
            </a:ln>
          </xdr:spPr>
        </xdr:cxnSp>
      </xdr:grpSp>
    </xdr:grpSp>
    <xdr:clientData fLocksWithSheet="0"/>
  </xdr:oneCellAnchor>
  <xdr:oneCellAnchor>
    <xdr:from>
      <xdr:col>13</xdr:col>
      <xdr:colOff>133350</xdr:colOff>
      <xdr:row>0</xdr:row>
      <xdr:rowOff>0</xdr:rowOff>
    </xdr:from>
    <xdr:ext cx="1571625" cy="609600"/>
    <xdr:pic>
      <xdr:nvPicPr>
        <xdr:cNvPr id="8" name="image1.jp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581025</xdr:colOff>
      <xdr:row>7</xdr:row>
      <xdr:rowOff>161925</xdr:rowOff>
    </xdr:from>
    <xdr:ext cx="904875" cy="876300"/>
    <xdr:grpSp>
      <xdr:nvGrpSpPr>
        <xdr:cNvPr id="2" name="Shape 2">
          <a:extLst>
            <a:ext uri="{FF2B5EF4-FFF2-40B4-BE49-F238E27FC236}">
              <a16:creationId xmlns:a16="http://schemas.microsoft.com/office/drawing/2014/main" id="{00000000-0008-0000-0500-000002000000}"/>
            </a:ext>
          </a:extLst>
        </xdr:cNvPr>
        <xdr:cNvGrpSpPr/>
      </xdr:nvGrpSpPr>
      <xdr:grpSpPr>
        <a:xfrm>
          <a:off x="581025" y="1644512"/>
          <a:ext cx="904875" cy="876300"/>
          <a:chOff x="4893563" y="3341850"/>
          <a:chExt cx="904875" cy="876300"/>
        </a:xfrm>
      </xdr:grpSpPr>
      <xdr:grpSp>
        <xdr:nvGrpSpPr>
          <xdr:cNvPr id="28" name="Shape 28">
            <a:extLst>
              <a:ext uri="{FF2B5EF4-FFF2-40B4-BE49-F238E27FC236}">
                <a16:creationId xmlns:a16="http://schemas.microsoft.com/office/drawing/2014/main" id="{00000000-0008-0000-0500-00001C000000}"/>
              </a:ext>
            </a:extLst>
          </xdr:cNvPr>
          <xdr:cNvGrpSpPr/>
        </xdr:nvGrpSpPr>
        <xdr:grpSpPr>
          <a:xfrm>
            <a:off x="4893563" y="3341850"/>
            <a:ext cx="904875" cy="876300"/>
            <a:chOff x="4898325" y="3346613"/>
            <a:chExt cx="895350" cy="866775"/>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4898325" y="3346613"/>
              <a:ext cx="89535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 name="Shape 29">
              <a:extLst>
                <a:ext uri="{FF2B5EF4-FFF2-40B4-BE49-F238E27FC236}">
                  <a16:creationId xmlns:a16="http://schemas.microsoft.com/office/drawing/2014/main" id="{00000000-0008-0000-0500-00001D000000}"/>
                </a:ext>
              </a:extLst>
            </xdr:cNvPr>
            <xdr:cNvCxnSpPr/>
          </xdr:nvCxnSpPr>
          <xdr:spPr>
            <a:xfrm flipH="1">
              <a:off x="4898325" y="3346613"/>
              <a:ext cx="895350" cy="8667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8</xdr:row>
      <xdr:rowOff>28575</xdr:rowOff>
    </xdr:from>
    <xdr:ext cx="190500" cy="238125"/>
    <xdr:grpSp>
      <xdr:nvGrpSpPr>
        <xdr:cNvPr id="3" name="Shape 2">
          <a:extLst>
            <a:ext uri="{FF2B5EF4-FFF2-40B4-BE49-F238E27FC236}">
              <a16:creationId xmlns:a16="http://schemas.microsoft.com/office/drawing/2014/main" id="{00000000-0008-0000-0500-000003000000}"/>
            </a:ext>
          </a:extLst>
        </xdr:cNvPr>
        <xdr:cNvGrpSpPr/>
      </xdr:nvGrpSpPr>
      <xdr:grpSpPr>
        <a:xfrm>
          <a:off x="428625" y="1709945"/>
          <a:ext cx="190500" cy="238125"/>
          <a:chOff x="5250750" y="3660938"/>
          <a:chExt cx="190500" cy="238125"/>
        </a:xfrm>
      </xdr:grpSpPr>
      <xdr:grpSp>
        <xdr:nvGrpSpPr>
          <xdr:cNvPr id="30" name="Shape 30">
            <a:extLst>
              <a:ext uri="{FF2B5EF4-FFF2-40B4-BE49-F238E27FC236}">
                <a16:creationId xmlns:a16="http://schemas.microsoft.com/office/drawing/2014/main" id="{00000000-0008-0000-0500-00001E000000}"/>
              </a:ext>
            </a:extLst>
          </xdr:cNvPr>
          <xdr:cNvGrpSpPr/>
        </xdr:nvGrpSpPr>
        <xdr:grpSpPr>
          <a:xfrm>
            <a:off x="5250750" y="3660938"/>
            <a:ext cx="190500" cy="238125"/>
            <a:chOff x="5255513" y="3665700"/>
            <a:chExt cx="180975" cy="228600"/>
          </a:xfrm>
        </xdr:grpSpPr>
        <xdr:sp macro="" textlink="">
          <xdr:nvSpPr>
            <xdr:cNvPr id="5" name="Shape 4">
              <a:extLst>
                <a:ext uri="{FF2B5EF4-FFF2-40B4-BE49-F238E27FC236}">
                  <a16:creationId xmlns:a16="http://schemas.microsoft.com/office/drawing/2014/main" id="{00000000-0008-0000-0500-000005000000}"/>
                </a:ext>
              </a:extLst>
            </xdr:cNvPr>
            <xdr:cNvSpPr/>
          </xdr:nvSpPr>
          <xdr:spPr>
            <a:xfrm>
              <a:off x="5255513" y="3665700"/>
              <a:ext cx="18097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 name="Shape 31">
              <a:extLst>
                <a:ext uri="{FF2B5EF4-FFF2-40B4-BE49-F238E27FC236}">
                  <a16:creationId xmlns:a16="http://schemas.microsoft.com/office/drawing/2014/main" id="{00000000-0008-0000-0500-00001F000000}"/>
                </a:ext>
              </a:extLst>
            </xdr:cNvPr>
            <xdr:cNvCxnSpPr/>
          </xdr:nvCxnSpPr>
          <xdr:spPr>
            <a:xfrm flipH="1">
              <a:off x="5255513" y="3665700"/>
              <a:ext cx="180975" cy="2286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3</xdr:col>
      <xdr:colOff>704850</xdr:colOff>
      <xdr:row>18</xdr:row>
      <xdr:rowOff>76200</xdr:rowOff>
    </xdr:from>
    <xdr:ext cx="1971675" cy="38100"/>
    <xdr:grpSp>
      <xdr:nvGrpSpPr>
        <xdr:cNvPr id="6" name="Shape 2">
          <a:extLst>
            <a:ext uri="{FF2B5EF4-FFF2-40B4-BE49-F238E27FC236}">
              <a16:creationId xmlns:a16="http://schemas.microsoft.com/office/drawing/2014/main" id="{00000000-0008-0000-0500-000006000000}"/>
            </a:ext>
          </a:extLst>
        </xdr:cNvPr>
        <xdr:cNvGrpSpPr/>
      </xdr:nvGrpSpPr>
      <xdr:grpSpPr>
        <a:xfrm>
          <a:off x="2982567" y="3687417"/>
          <a:ext cx="1971675" cy="38100"/>
          <a:chOff x="4360163" y="3760950"/>
          <a:chExt cx="1971675" cy="38100"/>
        </a:xfrm>
      </xdr:grpSpPr>
      <xdr:grpSp>
        <xdr:nvGrpSpPr>
          <xdr:cNvPr id="32" name="Shape 32">
            <a:extLst>
              <a:ext uri="{FF2B5EF4-FFF2-40B4-BE49-F238E27FC236}">
                <a16:creationId xmlns:a16="http://schemas.microsoft.com/office/drawing/2014/main" id="{00000000-0008-0000-0500-000020000000}"/>
              </a:ext>
            </a:extLst>
          </xdr:cNvPr>
          <xdr:cNvGrpSpPr/>
        </xdr:nvGrpSpPr>
        <xdr:grpSpPr>
          <a:xfrm>
            <a:off x="4360163" y="3760950"/>
            <a:ext cx="1971675" cy="38100"/>
            <a:chOff x="4360163" y="3775238"/>
            <a:chExt cx="1971675" cy="9525"/>
          </a:xfrm>
        </xdr:grpSpPr>
        <xdr:sp macro="" textlink="">
          <xdr:nvSpPr>
            <xdr:cNvPr id="7" name="Shape 4">
              <a:extLst>
                <a:ext uri="{FF2B5EF4-FFF2-40B4-BE49-F238E27FC236}">
                  <a16:creationId xmlns:a16="http://schemas.microsoft.com/office/drawing/2014/main" id="{00000000-0008-0000-0500-000007000000}"/>
                </a:ext>
              </a:extLst>
            </xdr:cNvPr>
            <xdr:cNvSpPr/>
          </xdr:nvSpPr>
          <xdr:spPr>
            <a:xfrm>
              <a:off x="4360163" y="3775238"/>
              <a:ext cx="1971675" cy="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 name="Shape 33">
              <a:extLst>
                <a:ext uri="{FF2B5EF4-FFF2-40B4-BE49-F238E27FC236}">
                  <a16:creationId xmlns:a16="http://schemas.microsoft.com/office/drawing/2014/main" id="{00000000-0008-0000-0500-000021000000}"/>
                </a:ext>
              </a:extLst>
            </xdr:cNvPr>
            <xdr:cNvCxnSpPr/>
          </xdr:nvCxnSpPr>
          <xdr:spPr>
            <a:xfrm rot="10800000" flipH="1">
              <a:off x="4360163" y="3775238"/>
              <a:ext cx="1971675" cy="9525"/>
            </a:xfrm>
            <a:prstGeom prst="straightConnector1">
              <a:avLst/>
            </a:prstGeom>
            <a:noFill/>
            <a:ln w="9525" cap="flat" cmpd="sng">
              <a:solidFill>
                <a:srgbClr val="4A7DBA"/>
              </a:solidFill>
              <a:prstDash val="solid"/>
              <a:round/>
              <a:headEnd type="none" w="sm" len="sm"/>
              <a:tailEnd type="stealth" w="med" len="med"/>
            </a:ln>
          </xdr:spPr>
        </xdr:cxnSp>
      </xdr:grpSp>
    </xdr:grpSp>
    <xdr:clientData fLocksWithSheet="0"/>
  </xdr:oneCellAnchor>
  <xdr:oneCellAnchor>
    <xdr:from>
      <xdr:col>13</xdr:col>
      <xdr:colOff>133350</xdr:colOff>
      <xdr:row>0</xdr:row>
      <xdr:rowOff>0</xdr:rowOff>
    </xdr:from>
    <xdr:ext cx="1571625" cy="609600"/>
    <xdr:pic>
      <xdr:nvPicPr>
        <xdr:cNvPr id="8" name="image1.jp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238125</xdr:colOff>
      <xdr:row>8</xdr:row>
      <xdr:rowOff>0</xdr:rowOff>
    </xdr:from>
    <xdr:ext cx="904875" cy="866775"/>
    <xdr:grpSp>
      <xdr:nvGrpSpPr>
        <xdr:cNvPr id="2" name="Shape 2">
          <a:extLst>
            <a:ext uri="{FF2B5EF4-FFF2-40B4-BE49-F238E27FC236}">
              <a16:creationId xmlns:a16="http://schemas.microsoft.com/office/drawing/2014/main" id="{00000000-0008-0000-0600-000002000000}"/>
            </a:ext>
          </a:extLst>
        </xdr:cNvPr>
        <xdr:cNvGrpSpPr/>
      </xdr:nvGrpSpPr>
      <xdr:grpSpPr>
        <a:xfrm>
          <a:off x="238125" y="1838325"/>
          <a:ext cx="904875" cy="866775"/>
          <a:chOff x="4893563" y="3346613"/>
          <a:chExt cx="904875" cy="866775"/>
        </a:xfrm>
      </xdr:grpSpPr>
      <xdr:grpSp>
        <xdr:nvGrpSpPr>
          <xdr:cNvPr id="34" name="Shape 34">
            <a:extLst>
              <a:ext uri="{FF2B5EF4-FFF2-40B4-BE49-F238E27FC236}">
                <a16:creationId xmlns:a16="http://schemas.microsoft.com/office/drawing/2014/main" id="{00000000-0008-0000-0600-000022000000}"/>
              </a:ext>
            </a:extLst>
          </xdr:cNvPr>
          <xdr:cNvGrpSpPr/>
        </xdr:nvGrpSpPr>
        <xdr:grpSpPr>
          <a:xfrm>
            <a:off x="4893563" y="3346613"/>
            <a:ext cx="904875" cy="866775"/>
            <a:chOff x="4898325" y="3351375"/>
            <a:chExt cx="895350" cy="857250"/>
          </a:xfrm>
        </xdr:grpSpPr>
        <xdr:sp macro="" textlink="">
          <xdr:nvSpPr>
            <xdr:cNvPr id="4" name="Shape 4">
              <a:extLst>
                <a:ext uri="{FF2B5EF4-FFF2-40B4-BE49-F238E27FC236}">
                  <a16:creationId xmlns:a16="http://schemas.microsoft.com/office/drawing/2014/main" id="{00000000-0008-0000-0600-000004000000}"/>
                </a:ext>
              </a:extLst>
            </xdr:cNvPr>
            <xdr:cNvSpPr/>
          </xdr:nvSpPr>
          <xdr:spPr>
            <a:xfrm>
              <a:off x="4898325" y="3351375"/>
              <a:ext cx="895350" cy="85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 name="Shape 35">
              <a:extLst>
                <a:ext uri="{FF2B5EF4-FFF2-40B4-BE49-F238E27FC236}">
                  <a16:creationId xmlns:a16="http://schemas.microsoft.com/office/drawing/2014/main" id="{00000000-0008-0000-0600-000023000000}"/>
                </a:ext>
              </a:extLst>
            </xdr:cNvPr>
            <xdr:cNvCxnSpPr/>
          </xdr:nvCxnSpPr>
          <xdr:spPr>
            <a:xfrm flipH="1">
              <a:off x="4898325" y="3351375"/>
              <a:ext cx="895350" cy="8572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8</xdr:row>
      <xdr:rowOff>9525</xdr:rowOff>
    </xdr:from>
    <xdr:ext cx="390525" cy="257175"/>
    <xdr:grpSp>
      <xdr:nvGrpSpPr>
        <xdr:cNvPr id="3" name="Shape 2">
          <a:extLst>
            <a:ext uri="{FF2B5EF4-FFF2-40B4-BE49-F238E27FC236}">
              <a16:creationId xmlns:a16="http://schemas.microsoft.com/office/drawing/2014/main" id="{00000000-0008-0000-0600-000003000000}"/>
            </a:ext>
          </a:extLst>
        </xdr:cNvPr>
        <xdr:cNvGrpSpPr/>
      </xdr:nvGrpSpPr>
      <xdr:grpSpPr>
        <a:xfrm>
          <a:off x="428625" y="1847850"/>
          <a:ext cx="390525" cy="257175"/>
          <a:chOff x="5150738" y="3651413"/>
          <a:chExt cx="390525" cy="257175"/>
        </a:xfrm>
      </xdr:grpSpPr>
      <xdr:grpSp>
        <xdr:nvGrpSpPr>
          <xdr:cNvPr id="36" name="Shape 36">
            <a:extLst>
              <a:ext uri="{FF2B5EF4-FFF2-40B4-BE49-F238E27FC236}">
                <a16:creationId xmlns:a16="http://schemas.microsoft.com/office/drawing/2014/main" id="{00000000-0008-0000-0600-000024000000}"/>
              </a:ext>
            </a:extLst>
          </xdr:cNvPr>
          <xdr:cNvGrpSpPr/>
        </xdr:nvGrpSpPr>
        <xdr:grpSpPr>
          <a:xfrm>
            <a:off x="5150738" y="3651413"/>
            <a:ext cx="390525" cy="257175"/>
            <a:chOff x="5155500" y="3656175"/>
            <a:chExt cx="381000" cy="247650"/>
          </a:xfrm>
        </xdr:grpSpPr>
        <xdr:sp macro="" textlink="">
          <xdr:nvSpPr>
            <xdr:cNvPr id="5" name="Shape 4">
              <a:extLst>
                <a:ext uri="{FF2B5EF4-FFF2-40B4-BE49-F238E27FC236}">
                  <a16:creationId xmlns:a16="http://schemas.microsoft.com/office/drawing/2014/main" id="{00000000-0008-0000-0600-000005000000}"/>
                </a:ext>
              </a:extLst>
            </xdr:cNvPr>
            <xdr:cNvSpPr/>
          </xdr:nvSpPr>
          <xdr:spPr>
            <a:xfrm>
              <a:off x="5155500" y="3656175"/>
              <a:ext cx="3810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 name="Shape 37">
              <a:extLst>
                <a:ext uri="{FF2B5EF4-FFF2-40B4-BE49-F238E27FC236}">
                  <a16:creationId xmlns:a16="http://schemas.microsoft.com/office/drawing/2014/main" id="{00000000-0008-0000-0600-000025000000}"/>
                </a:ext>
              </a:extLst>
            </xdr:cNvPr>
            <xdr:cNvCxnSpPr/>
          </xdr:nvCxnSpPr>
          <xdr:spPr>
            <a:xfrm flipH="1">
              <a:off x="5155500" y="3656175"/>
              <a:ext cx="3810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6" name="image1.jp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581025</xdr:colOff>
      <xdr:row>6</xdr:row>
      <xdr:rowOff>161925</xdr:rowOff>
    </xdr:from>
    <xdr:ext cx="981075" cy="876300"/>
    <xdr:grpSp>
      <xdr:nvGrpSpPr>
        <xdr:cNvPr id="2" name="Shape 2">
          <a:extLst>
            <a:ext uri="{FF2B5EF4-FFF2-40B4-BE49-F238E27FC236}">
              <a16:creationId xmlns:a16="http://schemas.microsoft.com/office/drawing/2014/main" id="{00000000-0008-0000-0700-000002000000}"/>
            </a:ext>
          </a:extLst>
        </xdr:cNvPr>
        <xdr:cNvGrpSpPr/>
      </xdr:nvGrpSpPr>
      <xdr:grpSpPr>
        <a:xfrm>
          <a:off x="581025" y="1609725"/>
          <a:ext cx="981075" cy="876300"/>
          <a:chOff x="4855463" y="3341850"/>
          <a:chExt cx="981075" cy="876300"/>
        </a:xfrm>
      </xdr:grpSpPr>
      <xdr:grpSp>
        <xdr:nvGrpSpPr>
          <xdr:cNvPr id="38" name="Shape 38">
            <a:extLst>
              <a:ext uri="{FF2B5EF4-FFF2-40B4-BE49-F238E27FC236}">
                <a16:creationId xmlns:a16="http://schemas.microsoft.com/office/drawing/2014/main" id="{00000000-0008-0000-0700-000026000000}"/>
              </a:ext>
            </a:extLst>
          </xdr:cNvPr>
          <xdr:cNvGrpSpPr/>
        </xdr:nvGrpSpPr>
        <xdr:grpSpPr>
          <a:xfrm>
            <a:off x="4855463" y="3341850"/>
            <a:ext cx="981075" cy="876300"/>
            <a:chOff x="4860225" y="3346613"/>
            <a:chExt cx="971550" cy="866775"/>
          </a:xfrm>
        </xdr:grpSpPr>
        <xdr:sp macro="" textlink="">
          <xdr:nvSpPr>
            <xdr:cNvPr id="4" name="Shape 4">
              <a:extLst>
                <a:ext uri="{FF2B5EF4-FFF2-40B4-BE49-F238E27FC236}">
                  <a16:creationId xmlns:a16="http://schemas.microsoft.com/office/drawing/2014/main" id="{00000000-0008-0000-0700-000004000000}"/>
                </a:ext>
              </a:extLst>
            </xdr:cNvPr>
            <xdr:cNvSpPr/>
          </xdr:nvSpPr>
          <xdr:spPr>
            <a:xfrm>
              <a:off x="4860225" y="3346613"/>
              <a:ext cx="97155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 name="Shape 39">
              <a:extLst>
                <a:ext uri="{FF2B5EF4-FFF2-40B4-BE49-F238E27FC236}">
                  <a16:creationId xmlns:a16="http://schemas.microsoft.com/office/drawing/2014/main" id="{00000000-0008-0000-0700-000027000000}"/>
                </a:ext>
              </a:extLst>
            </xdr:cNvPr>
            <xdr:cNvCxnSpPr/>
          </xdr:nvCxnSpPr>
          <xdr:spPr>
            <a:xfrm flipH="1">
              <a:off x="4860225" y="3346613"/>
              <a:ext cx="971550" cy="8667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7</xdr:row>
      <xdr:rowOff>9525</xdr:rowOff>
    </xdr:from>
    <xdr:ext cx="466725" cy="257175"/>
    <xdr:grpSp>
      <xdr:nvGrpSpPr>
        <xdr:cNvPr id="3" name="Shape 2">
          <a:extLst>
            <a:ext uri="{FF2B5EF4-FFF2-40B4-BE49-F238E27FC236}">
              <a16:creationId xmlns:a16="http://schemas.microsoft.com/office/drawing/2014/main" id="{00000000-0008-0000-0700-000003000000}"/>
            </a:ext>
          </a:extLst>
        </xdr:cNvPr>
        <xdr:cNvGrpSpPr/>
      </xdr:nvGrpSpPr>
      <xdr:grpSpPr>
        <a:xfrm>
          <a:off x="428625" y="1657350"/>
          <a:ext cx="466725" cy="257175"/>
          <a:chOff x="5112638" y="3651413"/>
          <a:chExt cx="466725" cy="257175"/>
        </a:xfrm>
      </xdr:grpSpPr>
      <xdr:grpSp>
        <xdr:nvGrpSpPr>
          <xdr:cNvPr id="40" name="Shape 40">
            <a:extLst>
              <a:ext uri="{FF2B5EF4-FFF2-40B4-BE49-F238E27FC236}">
                <a16:creationId xmlns:a16="http://schemas.microsoft.com/office/drawing/2014/main" id="{00000000-0008-0000-0700-000028000000}"/>
              </a:ext>
            </a:extLst>
          </xdr:cNvPr>
          <xdr:cNvGrpSpPr/>
        </xdr:nvGrpSpPr>
        <xdr:grpSpPr>
          <a:xfrm>
            <a:off x="5112638" y="3651413"/>
            <a:ext cx="466725" cy="257175"/>
            <a:chOff x="5117400" y="3656175"/>
            <a:chExt cx="457200" cy="247650"/>
          </a:xfrm>
        </xdr:grpSpPr>
        <xdr:sp macro="" textlink="">
          <xdr:nvSpPr>
            <xdr:cNvPr id="5" name="Shape 4">
              <a:extLst>
                <a:ext uri="{FF2B5EF4-FFF2-40B4-BE49-F238E27FC236}">
                  <a16:creationId xmlns:a16="http://schemas.microsoft.com/office/drawing/2014/main" id="{00000000-0008-0000-0700-000005000000}"/>
                </a:ext>
              </a:extLst>
            </xdr:cNvPr>
            <xdr:cNvSpPr/>
          </xdr:nvSpPr>
          <xdr:spPr>
            <a:xfrm>
              <a:off x="5117400" y="3656175"/>
              <a:ext cx="4572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 name="Shape 41">
              <a:extLst>
                <a:ext uri="{FF2B5EF4-FFF2-40B4-BE49-F238E27FC236}">
                  <a16:creationId xmlns:a16="http://schemas.microsoft.com/office/drawing/2014/main" id="{00000000-0008-0000-0700-000029000000}"/>
                </a:ext>
              </a:extLst>
            </xdr:cNvPr>
            <xdr:cNvCxnSpPr/>
          </xdr:nvCxnSpPr>
          <xdr:spPr>
            <a:xfrm flipH="1">
              <a:off x="5117400" y="3656175"/>
              <a:ext cx="4572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4</xdr:col>
      <xdr:colOff>95250</xdr:colOff>
      <xdr:row>17</xdr:row>
      <xdr:rowOff>0</xdr:rowOff>
    </xdr:from>
    <xdr:ext cx="800100" cy="1562100"/>
    <xdr:sp macro="" textlink="">
      <xdr:nvSpPr>
        <xdr:cNvPr id="42" name="Shape 42">
          <a:extLst>
            <a:ext uri="{FF2B5EF4-FFF2-40B4-BE49-F238E27FC236}">
              <a16:creationId xmlns:a16="http://schemas.microsoft.com/office/drawing/2014/main" id="{00000000-0008-0000-0700-00002A000000}"/>
            </a:ext>
          </a:extLst>
        </xdr:cNvPr>
        <xdr:cNvSpPr/>
      </xdr:nvSpPr>
      <xdr:spPr>
        <a:xfrm>
          <a:off x="4950713" y="3003713"/>
          <a:ext cx="790575" cy="1552575"/>
        </a:xfrm>
        <a:prstGeom prst="rightBrace">
          <a:avLst>
            <a:gd name="adj1" fmla="val 8333"/>
            <a:gd name="adj2" fmla="val 50000"/>
          </a:avLst>
        </a:prstGeom>
        <a:noFill/>
        <a:ln w="9525" cap="flat" cmpd="sng">
          <a:solidFill>
            <a:srgbClr val="4A7D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133350</xdr:colOff>
      <xdr:row>0</xdr:row>
      <xdr:rowOff>0</xdr:rowOff>
    </xdr:from>
    <xdr:ext cx="1571625" cy="609600"/>
    <xdr:pic>
      <xdr:nvPicPr>
        <xdr:cNvPr id="6" name="image1.jp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581025</xdr:colOff>
      <xdr:row>6</xdr:row>
      <xdr:rowOff>161925</xdr:rowOff>
    </xdr:from>
    <xdr:ext cx="838200" cy="676275"/>
    <xdr:grpSp>
      <xdr:nvGrpSpPr>
        <xdr:cNvPr id="2" name="Shape 2">
          <a:extLst>
            <a:ext uri="{FF2B5EF4-FFF2-40B4-BE49-F238E27FC236}">
              <a16:creationId xmlns:a16="http://schemas.microsoft.com/office/drawing/2014/main" id="{00000000-0008-0000-0800-000002000000}"/>
            </a:ext>
          </a:extLst>
        </xdr:cNvPr>
        <xdr:cNvGrpSpPr/>
      </xdr:nvGrpSpPr>
      <xdr:grpSpPr>
        <a:xfrm>
          <a:off x="581025" y="1609725"/>
          <a:ext cx="838200" cy="676275"/>
          <a:chOff x="4926900" y="3441863"/>
          <a:chExt cx="838200" cy="676275"/>
        </a:xfrm>
      </xdr:grpSpPr>
      <xdr:grpSp>
        <xdr:nvGrpSpPr>
          <xdr:cNvPr id="43" name="Shape 43">
            <a:extLst>
              <a:ext uri="{FF2B5EF4-FFF2-40B4-BE49-F238E27FC236}">
                <a16:creationId xmlns:a16="http://schemas.microsoft.com/office/drawing/2014/main" id="{00000000-0008-0000-0800-00002B000000}"/>
              </a:ext>
            </a:extLst>
          </xdr:cNvPr>
          <xdr:cNvGrpSpPr/>
        </xdr:nvGrpSpPr>
        <xdr:grpSpPr>
          <a:xfrm>
            <a:off x="4926900" y="3441863"/>
            <a:ext cx="838200" cy="676275"/>
            <a:chOff x="4931663" y="3446625"/>
            <a:chExt cx="828675" cy="666750"/>
          </a:xfrm>
        </xdr:grpSpPr>
        <xdr:sp macro="" textlink="">
          <xdr:nvSpPr>
            <xdr:cNvPr id="4" name="Shape 4">
              <a:extLst>
                <a:ext uri="{FF2B5EF4-FFF2-40B4-BE49-F238E27FC236}">
                  <a16:creationId xmlns:a16="http://schemas.microsoft.com/office/drawing/2014/main" id="{00000000-0008-0000-0800-000004000000}"/>
                </a:ext>
              </a:extLst>
            </xdr:cNvPr>
            <xdr:cNvSpPr/>
          </xdr:nvSpPr>
          <xdr:spPr>
            <a:xfrm>
              <a:off x="4931663" y="3446625"/>
              <a:ext cx="828675" cy="666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 name="Shape 44">
              <a:extLst>
                <a:ext uri="{FF2B5EF4-FFF2-40B4-BE49-F238E27FC236}">
                  <a16:creationId xmlns:a16="http://schemas.microsoft.com/office/drawing/2014/main" id="{00000000-0008-0000-0800-00002C000000}"/>
                </a:ext>
              </a:extLst>
            </xdr:cNvPr>
            <xdr:cNvCxnSpPr/>
          </xdr:nvCxnSpPr>
          <xdr:spPr>
            <a:xfrm flipH="1">
              <a:off x="4931663" y="3446625"/>
              <a:ext cx="828675" cy="6667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xdr:col>
      <xdr:colOff>19050</xdr:colOff>
      <xdr:row>7</xdr:row>
      <xdr:rowOff>9525</xdr:rowOff>
    </xdr:from>
    <xdr:ext cx="1104900" cy="1238250"/>
    <xdr:grpSp>
      <xdr:nvGrpSpPr>
        <xdr:cNvPr id="3" name="Shape 2">
          <a:extLst>
            <a:ext uri="{FF2B5EF4-FFF2-40B4-BE49-F238E27FC236}">
              <a16:creationId xmlns:a16="http://schemas.microsoft.com/office/drawing/2014/main" id="{00000000-0008-0000-0800-000003000000}"/>
            </a:ext>
          </a:extLst>
        </xdr:cNvPr>
        <xdr:cNvGrpSpPr/>
      </xdr:nvGrpSpPr>
      <xdr:grpSpPr>
        <a:xfrm>
          <a:off x="685800" y="1657350"/>
          <a:ext cx="1104900" cy="1238250"/>
          <a:chOff x="4793550" y="3160875"/>
          <a:chExt cx="1104900" cy="1238250"/>
        </a:xfrm>
      </xdr:grpSpPr>
      <xdr:grpSp>
        <xdr:nvGrpSpPr>
          <xdr:cNvPr id="45" name="Shape 45">
            <a:extLst>
              <a:ext uri="{FF2B5EF4-FFF2-40B4-BE49-F238E27FC236}">
                <a16:creationId xmlns:a16="http://schemas.microsoft.com/office/drawing/2014/main" id="{00000000-0008-0000-0800-00002D000000}"/>
              </a:ext>
            </a:extLst>
          </xdr:cNvPr>
          <xdr:cNvGrpSpPr/>
        </xdr:nvGrpSpPr>
        <xdr:grpSpPr>
          <a:xfrm>
            <a:off x="4793550" y="3160875"/>
            <a:ext cx="1104900" cy="1238250"/>
            <a:chOff x="4798313" y="3165638"/>
            <a:chExt cx="1095375" cy="1228725"/>
          </a:xfrm>
        </xdr:grpSpPr>
        <xdr:sp macro="" textlink="">
          <xdr:nvSpPr>
            <xdr:cNvPr id="5" name="Shape 4">
              <a:extLst>
                <a:ext uri="{FF2B5EF4-FFF2-40B4-BE49-F238E27FC236}">
                  <a16:creationId xmlns:a16="http://schemas.microsoft.com/office/drawing/2014/main" id="{00000000-0008-0000-0800-000005000000}"/>
                </a:ext>
              </a:extLst>
            </xdr:cNvPr>
            <xdr:cNvSpPr/>
          </xdr:nvSpPr>
          <xdr:spPr>
            <a:xfrm>
              <a:off x="4798313" y="3165638"/>
              <a:ext cx="1095375" cy="1228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 name="Shape 46">
              <a:extLst>
                <a:ext uri="{FF2B5EF4-FFF2-40B4-BE49-F238E27FC236}">
                  <a16:creationId xmlns:a16="http://schemas.microsoft.com/office/drawing/2014/main" id="{00000000-0008-0000-0800-00002E000000}"/>
                </a:ext>
              </a:extLst>
            </xdr:cNvPr>
            <xdr:cNvCxnSpPr/>
          </xdr:nvCxnSpPr>
          <xdr:spPr>
            <a:xfrm flipH="1">
              <a:off x="4798313" y="3165638"/>
              <a:ext cx="1095375" cy="12287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7</xdr:col>
      <xdr:colOff>152400</xdr:colOff>
      <xdr:row>23</xdr:row>
      <xdr:rowOff>47625</xdr:rowOff>
    </xdr:from>
    <xdr:ext cx="352425" cy="504825"/>
    <xdr:sp macro="" textlink="">
      <xdr:nvSpPr>
        <xdr:cNvPr id="47" name="Shape 47">
          <a:extLst>
            <a:ext uri="{FF2B5EF4-FFF2-40B4-BE49-F238E27FC236}">
              <a16:creationId xmlns:a16="http://schemas.microsoft.com/office/drawing/2014/main" id="{00000000-0008-0000-0800-00002F000000}"/>
            </a:ext>
          </a:extLst>
        </xdr:cNvPr>
        <xdr:cNvSpPr/>
      </xdr:nvSpPr>
      <xdr:spPr>
        <a:xfrm>
          <a:off x="5174550" y="3532350"/>
          <a:ext cx="342900" cy="495300"/>
        </a:xfrm>
        <a:prstGeom prst="rightBrace">
          <a:avLst>
            <a:gd name="adj1" fmla="val 8333"/>
            <a:gd name="adj2" fmla="val 50000"/>
          </a:avLst>
        </a:prstGeom>
        <a:noFill/>
        <a:ln w="9525" cap="flat" cmpd="sng">
          <a:solidFill>
            <a:srgbClr val="4A7D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133350</xdr:colOff>
      <xdr:row>0</xdr:row>
      <xdr:rowOff>0</xdr:rowOff>
    </xdr:from>
    <xdr:ext cx="1571625" cy="609600"/>
    <xdr:pic>
      <xdr:nvPicPr>
        <xdr:cNvPr id="6" name="image1.jp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0900-000002000000}"/>
            </a:ext>
          </a:extLst>
        </xdr:cNvPr>
        <xdr:cNvGrpSpPr/>
      </xdr:nvGrpSpPr>
      <xdr:grpSpPr>
        <a:xfrm>
          <a:off x="342900" y="1819275"/>
          <a:ext cx="238125" cy="257175"/>
          <a:chOff x="5226938" y="3651413"/>
          <a:chExt cx="238125" cy="257175"/>
        </a:xfrm>
      </xdr:grpSpPr>
      <xdr:grpSp>
        <xdr:nvGrpSpPr>
          <xdr:cNvPr id="48" name="Shape 48">
            <a:extLst>
              <a:ext uri="{FF2B5EF4-FFF2-40B4-BE49-F238E27FC236}">
                <a16:creationId xmlns:a16="http://schemas.microsoft.com/office/drawing/2014/main" id="{00000000-0008-0000-0900-000030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09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 name="Shape 49">
              <a:extLst>
                <a:ext uri="{FF2B5EF4-FFF2-40B4-BE49-F238E27FC236}">
                  <a16:creationId xmlns:a16="http://schemas.microsoft.com/office/drawing/2014/main" id="{00000000-0008-0000-0900-000031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3" name="image1.jp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295275</xdr:colOff>
      <xdr:row>8</xdr:row>
      <xdr:rowOff>0</xdr:rowOff>
    </xdr:from>
    <xdr:ext cx="666750" cy="276225"/>
    <xdr:grpSp>
      <xdr:nvGrpSpPr>
        <xdr:cNvPr id="2" name="Shape 2">
          <a:extLst>
            <a:ext uri="{FF2B5EF4-FFF2-40B4-BE49-F238E27FC236}">
              <a16:creationId xmlns:a16="http://schemas.microsoft.com/office/drawing/2014/main" id="{00000000-0008-0000-0A00-000002000000}"/>
            </a:ext>
          </a:extLst>
        </xdr:cNvPr>
        <xdr:cNvGrpSpPr/>
      </xdr:nvGrpSpPr>
      <xdr:grpSpPr>
        <a:xfrm>
          <a:off x="295275" y="1838325"/>
          <a:ext cx="666750" cy="276225"/>
          <a:chOff x="5012625" y="3641888"/>
          <a:chExt cx="666750" cy="276225"/>
        </a:xfrm>
      </xdr:grpSpPr>
      <xdr:grpSp>
        <xdr:nvGrpSpPr>
          <xdr:cNvPr id="50" name="Shape 50">
            <a:extLst>
              <a:ext uri="{FF2B5EF4-FFF2-40B4-BE49-F238E27FC236}">
                <a16:creationId xmlns:a16="http://schemas.microsoft.com/office/drawing/2014/main" id="{00000000-0008-0000-0A00-000032000000}"/>
              </a:ext>
            </a:extLst>
          </xdr:cNvPr>
          <xdr:cNvGrpSpPr/>
        </xdr:nvGrpSpPr>
        <xdr:grpSpPr>
          <a:xfrm>
            <a:off x="5012625" y="3641888"/>
            <a:ext cx="666750" cy="276225"/>
            <a:chOff x="5017388" y="3646650"/>
            <a:chExt cx="657225" cy="266700"/>
          </a:xfrm>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5017388" y="3646650"/>
              <a:ext cx="657225" cy="266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 name="Shape 51">
              <a:extLst>
                <a:ext uri="{FF2B5EF4-FFF2-40B4-BE49-F238E27FC236}">
                  <a16:creationId xmlns:a16="http://schemas.microsoft.com/office/drawing/2014/main" id="{00000000-0008-0000-0A00-000033000000}"/>
                </a:ext>
              </a:extLst>
            </xdr:cNvPr>
            <xdr:cNvCxnSpPr/>
          </xdr:nvCxnSpPr>
          <xdr:spPr>
            <a:xfrm flipH="1">
              <a:off x="5017388" y="3646650"/>
              <a:ext cx="657225" cy="2667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219075</xdr:colOff>
      <xdr:row>7</xdr:row>
      <xdr:rowOff>152400</xdr:rowOff>
    </xdr:from>
    <xdr:ext cx="1200150" cy="876300"/>
    <xdr:grpSp>
      <xdr:nvGrpSpPr>
        <xdr:cNvPr id="3" name="Shape 2">
          <a:extLst>
            <a:ext uri="{FF2B5EF4-FFF2-40B4-BE49-F238E27FC236}">
              <a16:creationId xmlns:a16="http://schemas.microsoft.com/office/drawing/2014/main" id="{00000000-0008-0000-0A00-000003000000}"/>
            </a:ext>
          </a:extLst>
        </xdr:cNvPr>
        <xdr:cNvGrpSpPr/>
      </xdr:nvGrpSpPr>
      <xdr:grpSpPr>
        <a:xfrm>
          <a:off x="219075" y="1790700"/>
          <a:ext cx="1200150" cy="876300"/>
          <a:chOff x="4745925" y="3341850"/>
          <a:chExt cx="1200150" cy="876300"/>
        </a:xfrm>
      </xdr:grpSpPr>
      <xdr:grpSp>
        <xdr:nvGrpSpPr>
          <xdr:cNvPr id="52" name="Shape 52">
            <a:extLst>
              <a:ext uri="{FF2B5EF4-FFF2-40B4-BE49-F238E27FC236}">
                <a16:creationId xmlns:a16="http://schemas.microsoft.com/office/drawing/2014/main" id="{00000000-0008-0000-0A00-000034000000}"/>
              </a:ext>
            </a:extLst>
          </xdr:cNvPr>
          <xdr:cNvGrpSpPr/>
        </xdr:nvGrpSpPr>
        <xdr:grpSpPr>
          <a:xfrm>
            <a:off x="4745925" y="3341850"/>
            <a:ext cx="1200150" cy="876300"/>
            <a:chOff x="4750688" y="3346613"/>
            <a:chExt cx="1190625" cy="866775"/>
          </a:xfrm>
        </xdr:grpSpPr>
        <xdr:sp macro="" textlink="">
          <xdr:nvSpPr>
            <xdr:cNvPr id="5" name="Shape 4">
              <a:extLst>
                <a:ext uri="{FF2B5EF4-FFF2-40B4-BE49-F238E27FC236}">
                  <a16:creationId xmlns:a16="http://schemas.microsoft.com/office/drawing/2014/main" id="{00000000-0008-0000-0A00-000005000000}"/>
                </a:ext>
              </a:extLst>
            </xdr:cNvPr>
            <xdr:cNvSpPr/>
          </xdr:nvSpPr>
          <xdr:spPr>
            <a:xfrm>
              <a:off x="4750688" y="3346613"/>
              <a:ext cx="1190625"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 name="Shape 53">
              <a:extLst>
                <a:ext uri="{FF2B5EF4-FFF2-40B4-BE49-F238E27FC236}">
                  <a16:creationId xmlns:a16="http://schemas.microsoft.com/office/drawing/2014/main" id="{00000000-0008-0000-0A00-000035000000}"/>
                </a:ext>
              </a:extLst>
            </xdr:cNvPr>
            <xdr:cNvCxnSpPr/>
          </xdr:nvCxnSpPr>
          <xdr:spPr>
            <a:xfrm flipH="1">
              <a:off x="4750688" y="3346613"/>
              <a:ext cx="1190625" cy="8667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333375</xdr:colOff>
      <xdr:row>8</xdr:row>
      <xdr:rowOff>47625</xdr:rowOff>
    </xdr:from>
    <xdr:ext cx="1876425" cy="1362075"/>
    <xdr:grpSp>
      <xdr:nvGrpSpPr>
        <xdr:cNvPr id="6" name="Shape 2">
          <a:extLst>
            <a:ext uri="{FF2B5EF4-FFF2-40B4-BE49-F238E27FC236}">
              <a16:creationId xmlns:a16="http://schemas.microsoft.com/office/drawing/2014/main" id="{00000000-0008-0000-0A00-000006000000}"/>
            </a:ext>
          </a:extLst>
        </xdr:cNvPr>
        <xdr:cNvGrpSpPr/>
      </xdr:nvGrpSpPr>
      <xdr:grpSpPr>
        <a:xfrm>
          <a:off x="333375" y="1885950"/>
          <a:ext cx="1876425" cy="1362075"/>
          <a:chOff x="4407788" y="3098963"/>
          <a:chExt cx="1876425" cy="1362075"/>
        </a:xfrm>
      </xdr:grpSpPr>
      <xdr:grpSp>
        <xdr:nvGrpSpPr>
          <xdr:cNvPr id="54" name="Shape 54">
            <a:extLst>
              <a:ext uri="{FF2B5EF4-FFF2-40B4-BE49-F238E27FC236}">
                <a16:creationId xmlns:a16="http://schemas.microsoft.com/office/drawing/2014/main" id="{00000000-0008-0000-0A00-000036000000}"/>
              </a:ext>
            </a:extLst>
          </xdr:cNvPr>
          <xdr:cNvGrpSpPr/>
        </xdr:nvGrpSpPr>
        <xdr:grpSpPr>
          <a:xfrm>
            <a:off x="4407788" y="3098963"/>
            <a:ext cx="1876425" cy="1362075"/>
            <a:chOff x="4412550" y="3103725"/>
            <a:chExt cx="1866900" cy="1352550"/>
          </a:xfrm>
        </xdr:grpSpPr>
        <xdr:sp macro="" textlink="">
          <xdr:nvSpPr>
            <xdr:cNvPr id="7" name="Shape 4">
              <a:extLst>
                <a:ext uri="{FF2B5EF4-FFF2-40B4-BE49-F238E27FC236}">
                  <a16:creationId xmlns:a16="http://schemas.microsoft.com/office/drawing/2014/main" id="{00000000-0008-0000-0A00-000007000000}"/>
                </a:ext>
              </a:extLst>
            </xdr:cNvPr>
            <xdr:cNvSpPr/>
          </xdr:nvSpPr>
          <xdr:spPr>
            <a:xfrm>
              <a:off x="4412550" y="3103725"/>
              <a:ext cx="1866900"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 name="Shape 55">
              <a:extLst>
                <a:ext uri="{FF2B5EF4-FFF2-40B4-BE49-F238E27FC236}">
                  <a16:creationId xmlns:a16="http://schemas.microsoft.com/office/drawing/2014/main" id="{00000000-0008-0000-0A00-000037000000}"/>
                </a:ext>
              </a:extLst>
            </xdr:cNvPr>
            <xdr:cNvCxnSpPr/>
          </xdr:nvCxnSpPr>
          <xdr:spPr>
            <a:xfrm flipH="1">
              <a:off x="4412550" y="3103725"/>
              <a:ext cx="1866900" cy="1352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552450</xdr:colOff>
      <xdr:row>8</xdr:row>
      <xdr:rowOff>38100</xdr:rowOff>
    </xdr:from>
    <xdr:ext cx="2495550" cy="1990725"/>
    <xdr:grpSp>
      <xdr:nvGrpSpPr>
        <xdr:cNvPr id="8" name="Shape 2">
          <a:extLst>
            <a:ext uri="{FF2B5EF4-FFF2-40B4-BE49-F238E27FC236}">
              <a16:creationId xmlns:a16="http://schemas.microsoft.com/office/drawing/2014/main" id="{00000000-0008-0000-0A00-000008000000}"/>
            </a:ext>
          </a:extLst>
        </xdr:cNvPr>
        <xdr:cNvGrpSpPr/>
      </xdr:nvGrpSpPr>
      <xdr:grpSpPr>
        <a:xfrm>
          <a:off x="552450" y="1876425"/>
          <a:ext cx="2495550" cy="1990725"/>
          <a:chOff x="4098225" y="2784638"/>
          <a:chExt cx="2495550" cy="1990725"/>
        </a:xfrm>
      </xdr:grpSpPr>
      <xdr:grpSp>
        <xdr:nvGrpSpPr>
          <xdr:cNvPr id="56" name="Shape 56">
            <a:extLst>
              <a:ext uri="{FF2B5EF4-FFF2-40B4-BE49-F238E27FC236}">
                <a16:creationId xmlns:a16="http://schemas.microsoft.com/office/drawing/2014/main" id="{00000000-0008-0000-0A00-000038000000}"/>
              </a:ext>
            </a:extLst>
          </xdr:cNvPr>
          <xdr:cNvGrpSpPr/>
        </xdr:nvGrpSpPr>
        <xdr:grpSpPr>
          <a:xfrm>
            <a:off x="4098225" y="2784638"/>
            <a:ext cx="2495550" cy="1990725"/>
            <a:chOff x="4102988" y="2789400"/>
            <a:chExt cx="2486025" cy="1981200"/>
          </a:xfrm>
        </xdr:grpSpPr>
        <xdr:sp macro="" textlink="">
          <xdr:nvSpPr>
            <xdr:cNvPr id="9" name="Shape 4">
              <a:extLst>
                <a:ext uri="{FF2B5EF4-FFF2-40B4-BE49-F238E27FC236}">
                  <a16:creationId xmlns:a16="http://schemas.microsoft.com/office/drawing/2014/main" id="{00000000-0008-0000-0A00-000009000000}"/>
                </a:ext>
              </a:extLst>
            </xdr:cNvPr>
            <xdr:cNvSpPr/>
          </xdr:nvSpPr>
          <xdr:spPr>
            <a:xfrm>
              <a:off x="4102988" y="2789400"/>
              <a:ext cx="2486025" cy="1981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 name="Shape 57">
              <a:extLst>
                <a:ext uri="{FF2B5EF4-FFF2-40B4-BE49-F238E27FC236}">
                  <a16:creationId xmlns:a16="http://schemas.microsoft.com/office/drawing/2014/main" id="{00000000-0008-0000-0A00-000039000000}"/>
                </a:ext>
              </a:extLst>
            </xdr:cNvPr>
            <xdr:cNvCxnSpPr/>
          </xdr:nvCxnSpPr>
          <xdr:spPr>
            <a:xfrm flipH="1">
              <a:off x="4102988" y="2789400"/>
              <a:ext cx="2486025" cy="19812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0B00-000002000000}"/>
            </a:ext>
          </a:extLst>
        </xdr:cNvPr>
        <xdr:cNvGrpSpPr/>
      </xdr:nvGrpSpPr>
      <xdr:grpSpPr>
        <a:xfrm>
          <a:off x="342900" y="1628775"/>
          <a:ext cx="238125" cy="257175"/>
          <a:chOff x="5226938" y="3651413"/>
          <a:chExt cx="238125" cy="257175"/>
        </a:xfrm>
      </xdr:grpSpPr>
      <xdr:grpSp>
        <xdr:nvGrpSpPr>
          <xdr:cNvPr id="58" name="Shape 58">
            <a:extLst>
              <a:ext uri="{FF2B5EF4-FFF2-40B4-BE49-F238E27FC236}">
                <a16:creationId xmlns:a16="http://schemas.microsoft.com/office/drawing/2014/main" id="{00000000-0008-0000-0B00-00003A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0B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 name="Shape 59">
              <a:extLst>
                <a:ext uri="{FF2B5EF4-FFF2-40B4-BE49-F238E27FC236}">
                  <a16:creationId xmlns:a16="http://schemas.microsoft.com/office/drawing/2014/main" id="{00000000-0008-0000-0B00-00003B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4</xdr:col>
      <xdr:colOff>76200</xdr:colOff>
      <xdr:row>15</xdr:row>
      <xdr:rowOff>0</xdr:rowOff>
    </xdr:from>
    <xdr:ext cx="533400" cy="390525"/>
    <xdr:sp macro="" textlink="">
      <xdr:nvSpPr>
        <xdr:cNvPr id="60" name="Shape 60">
          <a:extLst>
            <a:ext uri="{FF2B5EF4-FFF2-40B4-BE49-F238E27FC236}">
              <a16:creationId xmlns:a16="http://schemas.microsoft.com/office/drawing/2014/main" id="{00000000-0008-0000-0B00-00003C000000}"/>
            </a:ext>
          </a:extLst>
        </xdr:cNvPr>
        <xdr:cNvSpPr/>
      </xdr:nvSpPr>
      <xdr:spPr>
        <a:xfrm>
          <a:off x="5084063" y="3589500"/>
          <a:ext cx="523875" cy="381000"/>
        </a:xfrm>
        <a:prstGeom prst="rightBrace">
          <a:avLst>
            <a:gd name="adj1" fmla="val 8333"/>
            <a:gd name="adj2" fmla="val 50000"/>
          </a:avLst>
        </a:prstGeom>
        <a:noFill/>
        <a:ln w="9525" cap="flat" cmpd="sng">
          <a:solidFill>
            <a:srgbClr val="4A7D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133350</xdr:colOff>
      <xdr:row>0</xdr:row>
      <xdr:rowOff>0</xdr:rowOff>
    </xdr:from>
    <xdr:ext cx="1571625" cy="609600"/>
    <xdr:pic>
      <xdr:nvPicPr>
        <xdr:cNvPr id="3" name="image1.jp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0C00-000002000000}"/>
            </a:ext>
          </a:extLst>
        </xdr:cNvPr>
        <xdr:cNvGrpSpPr/>
      </xdr:nvGrpSpPr>
      <xdr:grpSpPr>
        <a:xfrm>
          <a:off x="342900" y="1628775"/>
          <a:ext cx="238125" cy="257175"/>
          <a:chOff x="5226938" y="3651413"/>
          <a:chExt cx="238125" cy="257175"/>
        </a:xfrm>
      </xdr:grpSpPr>
      <xdr:grpSp>
        <xdr:nvGrpSpPr>
          <xdr:cNvPr id="61" name="Shape 61">
            <a:extLst>
              <a:ext uri="{FF2B5EF4-FFF2-40B4-BE49-F238E27FC236}">
                <a16:creationId xmlns:a16="http://schemas.microsoft.com/office/drawing/2014/main" id="{00000000-0008-0000-0C00-00003D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0C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 name="Shape 62">
              <a:extLst>
                <a:ext uri="{FF2B5EF4-FFF2-40B4-BE49-F238E27FC236}">
                  <a16:creationId xmlns:a16="http://schemas.microsoft.com/office/drawing/2014/main" id="{00000000-0008-0000-0C00-00003E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3" name="image1.jpg">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0D00-000002000000}"/>
            </a:ext>
          </a:extLst>
        </xdr:cNvPr>
        <xdr:cNvGrpSpPr/>
      </xdr:nvGrpSpPr>
      <xdr:grpSpPr>
        <a:xfrm>
          <a:off x="342900" y="1628775"/>
          <a:ext cx="238125" cy="257175"/>
          <a:chOff x="5226938" y="3651413"/>
          <a:chExt cx="238125" cy="257175"/>
        </a:xfrm>
      </xdr:grpSpPr>
      <xdr:grpSp>
        <xdr:nvGrpSpPr>
          <xdr:cNvPr id="63" name="Shape 63">
            <a:extLst>
              <a:ext uri="{FF2B5EF4-FFF2-40B4-BE49-F238E27FC236}">
                <a16:creationId xmlns:a16="http://schemas.microsoft.com/office/drawing/2014/main" id="{00000000-0008-0000-0D00-00003F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0D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 name="Shape 64">
              <a:extLst>
                <a:ext uri="{FF2B5EF4-FFF2-40B4-BE49-F238E27FC236}">
                  <a16:creationId xmlns:a16="http://schemas.microsoft.com/office/drawing/2014/main" id="{00000000-0008-0000-0D00-000040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3" name="image1.jpg">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0E00-000002000000}"/>
            </a:ext>
          </a:extLst>
        </xdr:cNvPr>
        <xdr:cNvGrpSpPr/>
      </xdr:nvGrpSpPr>
      <xdr:grpSpPr>
        <a:xfrm>
          <a:off x="342900" y="1819275"/>
          <a:ext cx="238125" cy="257175"/>
          <a:chOff x="5226938" y="3651413"/>
          <a:chExt cx="238125" cy="257175"/>
        </a:xfrm>
      </xdr:grpSpPr>
      <xdr:grpSp>
        <xdr:nvGrpSpPr>
          <xdr:cNvPr id="65" name="Shape 65">
            <a:extLst>
              <a:ext uri="{FF2B5EF4-FFF2-40B4-BE49-F238E27FC236}">
                <a16:creationId xmlns:a16="http://schemas.microsoft.com/office/drawing/2014/main" id="{00000000-0008-0000-0E00-000041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0E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 name="Shape 66">
              <a:extLst>
                <a:ext uri="{FF2B5EF4-FFF2-40B4-BE49-F238E27FC236}">
                  <a16:creationId xmlns:a16="http://schemas.microsoft.com/office/drawing/2014/main" id="{00000000-0008-0000-0E00-000042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3" name="image1.jpg">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0F00-000002000000}"/>
            </a:ext>
          </a:extLst>
        </xdr:cNvPr>
        <xdr:cNvGrpSpPr/>
      </xdr:nvGrpSpPr>
      <xdr:grpSpPr>
        <a:xfrm>
          <a:off x="342900" y="1819275"/>
          <a:ext cx="238125" cy="257175"/>
          <a:chOff x="5226938" y="3651413"/>
          <a:chExt cx="238125" cy="257175"/>
        </a:xfrm>
      </xdr:grpSpPr>
      <xdr:grpSp>
        <xdr:nvGrpSpPr>
          <xdr:cNvPr id="67" name="Shape 67">
            <a:extLst>
              <a:ext uri="{FF2B5EF4-FFF2-40B4-BE49-F238E27FC236}">
                <a16:creationId xmlns:a16="http://schemas.microsoft.com/office/drawing/2014/main" id="{00000000-0008-0000-0F00-000043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0F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 name="Shape 68">
              <a:extLst>
                <a:ext uri="{FF2B5EF4-FFF2-40B4-BE49-F238E27FC236}">
                  <a16:creationId xmlns:a16="http://schemas.microsoft.com/office/drawing/2014/main" id="{00000000-0008-0000-0F00-000044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238125</xdr:colOff>
      <xdr:row>7</xdr:row>
      <xdr:rowOff>190500</xdr:rowOff>
    </xdr:from>
    <xdr:ext cx="847725" cy="847725"/>
    <xdr:grpSp>
      <xdr:nvGrpSpPr>
        <xdr:cNvPr id="3" name="Shape 2">
          <a:extLst>
            <a:ext uri="{FF2B5EF4-FFF2-40B4-BE49-F238E27FC236}">
              <a16:creationId xmlns:a16="http://schemas.microsoft.com/office/drawing/2014/main" id="{00000000-0008-0000-0F00-000003000000}"/>
            </a:ext>
          </a:extLst>
        </xdr:cNvPr>
        <xdr:cNvGrpSpPr/>
      </xdr:nvGrpSpPr>
      <xdr:grpSpPr>
        <a:xfrm>
          <a:off x="238125" y="1828800"/>
          <a:ext cx="847725" cy="847725"/>
          <a:chOff x="4922138" y="3356138"/>
          <a:chExt cx="847725" cy="847725"/>
        </a:xfrm>
      </xdr:grpSpPr>
      <xdr:grpSp>
        <xdr:nvGrpSpPr>
          <xdr:cNvPr id="69" name="Shape 69">
            <a:extLst>
              <a:ext uri="{FF2B5EF4-FFF2-40B4-BE49-F238E27FC236}">
                <a16:creationId xmlns:a16="http://schemas.microsoft.com/office/drawing/2014/main" id="{00000000-0008-0000-0F00-000045000000}"/>
              </a:ext>
            </a:extLst>
          </xdr:cNvPr>
          <xdr:cNvGrpSpPr/>
        </xdr:nvGrpSpPr>
        <xdr:grpSpPr>
          <a:xfrm>
            <a:off x="4922138" y="3356138"/>
            <a:ext cx="847725" cy="847725"/>
            <a:chOff x="4922138" y="3360900"/>
            <a:chExt cx="847725" cy="838200"/>
          </a:xfrm>
        </xdr:grpSpPr>
        <xdr:sp macro="" textlink="">
          <xdr:nvSpPr>
            <xdr:cNvPr id="5" name="Shape 4">
              <a:extLst>
                <a:ext uri="{FF2B5EF4-FFF2-40B4-BE49-F238E27FC236}">
                  <a16:creationId xmlns:a16="http://schemas.microsoft.com/office/drawing/2014/main" id="{00000000-0008-0000-0F00-000005000000}"/>
                </a:ext>
              </a:extLst>
            </xdr:cNvPr>
            <xdr:cNvSpPr/>
          </xdr:nvSpPr>
          <xdr:spPr>
            <a:xfrm>
              <a:off x="4922138" y="3360900"/>
              <a:ext cx="847725"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 name="Shape 70">
              <a:extLst>
                <a:ext uri="{FF2B5EF4-FFF2-40B4-BE49-F238E27FC236}">
                  <a16:creationId xmlns:a16="http://schemas.microsoft.com/office/drawing/2014/main" id="{00000000-0008-0000-0F00-000046000000}"/>
                </a:ext>
              </a:extLst>
            </xdr:cNvPr>
            <xdr:cNvCxnSpPr/>
          </xdr:nvCxnSpPr>
          <xdr:spPr>
            <a:xfrm flipH="1">
              <a:off x="4922138" y="3360900"/>
              <a:ext cx="847725" cy="8382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6" name="image1.jpg">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1000-000002000000}"/>
            </a:ext>
          </a:extLst>
        </xdr:cNvPr>
        <xdr:cNvGrpSpPr/>
      </xdr:nvGrpSpPr>
      <xdr:grpSpPr>
        <a:xfrm>
          <a:off x="342900" y="1819275"/>
          <a:ext cx="238125" cy="257175"/>
          <a:chOff x="5226938" y="3651413"/>
          <a:chExt cx="238125" cy="257175"/>
        </a:xfrm>
      </xdr:grpSpPr>
      <xdr:grpSp>
        <xdr:nvGrpSpPr>
          <xdr:cNvPr id="71" name="Shape 71">
            <a:extLst>
              <a:ext uri="{FF2B5EF4-FFF2-40B4-BE49-F238E27FC236}">
                <a16:creationId xmlns:a16="http://schemas.microsoft.com/office/drawing/2014/main" id="{00000000-0008-0000-1000-000047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10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 name="Shape 72">
              <a:extLst>
                <a:ext uri="{FF2B5EF4-FFF2-40B4-BE49-F238E27FC236}">
                  <a16:creationId xmlns:a16="http://schemas.microsoft.com/office/drawing/2014/main" id="{00000000-0008-0000-1000-000048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238125</xdr:colOff>
      <xdr:row>7</xdr:row>
      <xdr:rowOff>190500</xdr:rowOff>
    </xdr:from>
    <xdr:ext cx="847725" cy="847725"/>
    <xdr:grpSp>
      <xdr:nvGrpSpPr>
        <xdr:cNvPr id="3" name="Shape 2">
          <a:extLst>
            <a:ext uri="{FF2B5EF4-FFF2-40B4-BE49-F238E27FC236}">
              <a16:creationId xmlns:a16="http://schemas.microsoft.com/office/drawing/2014/main" id="{00000000-0008-0000-1000-000003000000}"/>
            </a:ext>
          </a:extLst>
        </xdr:cNvPr>
        <xdr:cNvGrpSpPr/>
      </xdr:nvGrpSpPr>
      <xdr:grpSpPr>
        <a:xfrm>
          <a:off x="238125" y="1828800"/>
          <a:ext cx="847725" cy="847725"/>
          <a:chOff x="4922138" y="3356138"/>
          <a:chExt cx="847725" cy="847725"/>
        </a:xfrm>
      </xdr:grpSpPr>
      <xdr:grpSp>
        <xdr:nvGrpSpPr>
          <xdr:cNvPr id="73" name="Shape 73">
            <a:extLst>
              <a:ext uri="{FF2B5EF4-FFF2-40B4-BE49-F238E27FC236}">
                <a16:creationId xmlns:a16="http://schemas.microsoft.com/office/drawing/2014/main" id="{00000000-0008-0000-1000-000049000000}"/>
              </a:ext>
            </a:extLst>
          </xdr:cNvPr>
          <xdr:cNvGrpSpPr/>
        </xdr:nvGrpSpPr>
        <xdr:grpSpPr>
          <a:xfrm>
            <a:off x="4922138" y="3356138"/>
            <a:ext cx="847725" cy="847725"/>
            <a:chOff x="4922138" y="3360900"/>
            <a:chExt cx="847725" cy="838200"/>
          </a:xfrm>
        </xdr:grpSpPr>
        <xdr:sp macro="" textlink="">
          <xdr:nvSpPr>
            <xdr:cNvPr id="5" name="Shape 4">
              <a:extLst>
                <a:ext uri="{FF2B5EF4-FFF2-40B4-BE49-F238E27FC236}">
                  <a16:creationId xmlns:a16="http://schemas.microsoft.com/office/drawing/2014/main" id="{00000000-0008-0000-1000-000005000000}"/>
                </a:ext>
              </a:extLst>
            </xdr:cNvPr>
            <xdr:cNvSpPr/>
          </xdr:nvSpPr>
          <xdr:spPr>
            <a:xfrm>
              <a:off x="4922138" y="3360900"/>
              <a:ext cx="847725"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 name="Shape 74">
              <a:extLst>
                <a:ext uri="{FF2B5EF4-FFF2-40B4-BE49-F238E27FC236}">
                  <a16:creationId xmlns:a16="http://schemas.microsoft.com/office/drawing/2014/main" id="{00000000-0008-0000-1000-00004A000000}"/>
                </a:ext>
              </a:extLst>
            </xdr:cNvPr>
            <xdr:cNvCxnSpPr/>
          </xdr:nvCxnSpPr>
          <xdr:spPr>
            <a:xfrm flipH="1">
              <a:off x="4922138" y="3360900"/>
              <a:ext cx="847725" cy="8382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6" name="image1.jpg">
          <a:extLst>
            <a:ext uri="{FF2B5EF4-FFF2-40B4-BE49-F238E27FC236}">
              <a16:creationId xmlns:a16="http://schemas.microsoft.com/office/drawing/2014/main" id="{00000000-0008-0000-1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1100-000002000000}"/>
            </a:ext>
          </a:extLst>
        </xdr:cNvPr>
        <xdr:cNvGrpSpPr/>
      </xdr:nvGrpSpPr>
      <xdr:grpSpPr>
        <a:xfrm>
          <a:off x="342900" y="1819275"/>
          <a:ext cx="238125" cy="257175"/>
          <a:chOff x="5226938" y="3651413"/>
          <a:chExt cx="238125" cy="257175"/>
        </a:xfrm>
      </xdr:grpSpPr>
      <xdr:grpSp>
        <xdr:nvGrpSpPr>
          <xdr:cNvPr id="75" name="Shape 75">
            <a:extLst>
              <a:ext uri="{FF2B5EF4-FFF2-40B4-BE49-F238E27FC236}">
                <a16:creationId xmlns:a16="http://schemas.microsoft.com/office/drawing/2014/main" id="{00000000-0008-0000-1100-00004B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11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 name="Shape 76">
              <a:extLst>
                <a:ext uri="{FF2B5EF4-FFF2-40B4-BE49-F238E27FC236}">
                  <a16:creationId xmlns:a16="http://schemas.microsoft.com/office/drawing/2014/main" id="{00000000-0008-0000-1100-00004C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552450</xdr:colOff>
      <xdr:row>8</xdr:row>
      <xdr:rowOff>9525</xdr:rowOff>
    </xdr:from>
    <xdr:ext cx="1743075" cy="1419225"/>
    <xdr:grpSp>
      <xdr:nvGrpSpPr>
        <xdr:cNvPr id="3" name="Shape 2">
          <a:extLst>
            <a:ext uri="{FF2B5EF4-FFF2-40B4-BE49-F238E27FC236}">
              <a16:creationId xmlns:a16="http://schemas.microsoft.com/office/drawing/2014/main" id="{00000000-0008-0000-1100-000003000000}"/>
            </a:ext>
          </a:extLst>
        </xdr:cNvPr>
        <xdr:cNvGrpSpPr/>
      </xdr:nvGrpSpPr>
      <xdr:grpSpPr>
        <a:xfrm>
          <a:off x="552450" y="1847850"/>
          <a:ext cx="1743075" cy="1419225"/>
          <a:chOff x="4474463" y="3070388"/>
          <a:chExt cx="1743075" cy="1419225"/>
        </a:xfrm>
      </xdr:grpSpPr>
      <xdr:grpSp>
        <xdr:nvGrpSpPr>
          <xdr:cNvPr id="77" name="Shape 77">
            <a:extLst>
              <a:ext uri="{FF2B5EF4-FFF2-40B4-BE49-F238E27FC236}">
                <a16:creationId xmlns:a16="http://schemas.microsoft.com/office/drawing/2014/main" id="{00000000-0008-0000-1100-00004D000000}"/>
              </a:ext>
            </a:extLst>
          </xdr:cNvPr>
          <xdr:cNvGrpSpPr/>
        </xdr:nvGrpSpPr>
        <xdr:grpSpPr>
          <a:xfrm>
            <a:off x="4474463" y="3070388"/>
            <a:ext cx="1743075" cy="1419225"/>
            <a:chOff x="4479225" y="3075150"/>
            <a:chExt cx="1733550" cy="1409700"/>
          </a:xfrm>
        </xdr:grpSpPr>
        <xdr:sp macro="" textlink="">
          <xdr:nvSpPr>
            <xdr:cNvPr id="5" name="Shape 4">
              <a:extLst>
                <a:ext uri="{FF2B5EF4-FFF2-40B4-BE49-F238E27FC236}">
                  <a16:creationId xmlns:a16="http://schemas.microsoft.com/office/drawing/2014/main" id="{00000000-0008-0000-1100-000005000000}"/>
                </a:ext>
              </a:extLst>
            </xdr:cNvPr>
            <xdr:cNvSpPr/>
          </xdr:nvSpPr>
          <xdr:spPr>
            <a:xfrm>
              <a:off x="4479225" y="3075150"/>
              <a:ext cx="1733550" cy="1409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 name="Shape 78">
              <a:extLst>
                <a:ext uri="{FF2B5EF4-FFF2-40B4-BE49-F238E27FC236}">
                  <a16:creationId xmlns:a16="http://schemas.microsoft.com/office/drawing/2014/main" id="{00000000-0008-0000-1100-00004E000000}"/>
                </a:ext>
              </a:extLst>
            </xdr:cNvPr>
            <xdr:cNvCxnSpPr/>
          </xdr:nvCxnSpPr>
          <xdr:spPr>
            <a:xfrm flipH="1">
              <a:off x="4479225" y="3075150"/>
              <a:ext cx="1733550" cy="14097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447675</xdr:colOff>
      <xdr:row>7</xdr:row>
      <xdr:rowOff>180975</xdr:rowOff>
    </xdr:from>
    <xdr:ext cx="1019175" cy="904875"/>
    <xdr:grpSp>
      <xdr:nvGrpSpPr>
        <xdr:cNvPr id="6" name="Shape 2">
          <a:extLst>
            <a:ext uri="{FF2B5EF4-FFF2-40B4-BE49-F238E27FC236}">
              <a16:creationId xmlns:a16="http://schemas.microsoft.com/office/drawing/2014/main" id="{00000000-0008-0000-1100-000006000000}"/>
            </a:ext>
          </a:extLst>
        </xdr:cNvPr>
        <xdr:cNvGrpSpPr/>
      </xdr:nvGrpSpPr>
      <xdr:grpSpPr>
        <a:xfrm>
          <a:off x="447675" y="1819275"/>
          <a:ext cx="1019175" cy="904875"/>
          <a:chOff x="4836413" y="3327563"/>
          <a:chExt cx="1019175" cy="904875"/>
        </a:xfrm>
      </xdr:grpSpPr>
      <xdr:grpSp>
        <xdr:nvGrpSpPr>
          <xdr:cNvPr id="79" name="Shape 79">
            <a:extLst>
              <a:ext uri="{FF2B5EF4-FFF2-40B4-BE49-F238E27FC236}">
                <a16:creationId xmlns:a16="http://schemas.microsoft.com/office/drawing/2014/main" id="{00000000-0008-0000-1100-00004F000000}"/>
              </a:ext>
            </a:extLst>
          </xdr:cNvPr>
          <xdr:cNvGrpSpPr/>
        </xdr:nvGrpSpPr>
        <xdr:grpSpPr>
          <a:xfrm>
            <a:off x="4836413" y="3327563"/>
            <a:ext cx="1019175" cy="904875"/>
            <a:chOff x="4841175" y="3332325"/>
            <a:chExt cx="1009650" cy="895350"/>
          </a:xfrm>
        </xdr:grpSpPr>
        <xdr:sp macro="" textlink="">
          <xdr:nvSpPr>
            <xdr:cNvPr id="7" name="Shape 4">
              <a:extLst>
                <a:ext uri="{FF2B5EF4-FFF2-40B4-BE49-F238E27FC236}">
                  <a16:creationId xmlns:a16="http://schemas.microsoft.com/office/drawing/2014/main" id="{00000000-0008-0000-1100-000007000000}"/>
                </a:ext>
              </a:extLst>
            </xdr:cNvPr>
            <xdr:cNvSpPr/>
          </xdr:nvSpPr>
          <xdr:spPr>
            <a:xfrm>
              <a:off x="4841175" y="3332325"/>
              <a:ext cx="1009650" cy="895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 name="Shape 80">
              <a:extLst>
                <a:ext uri="{FF2B5EF4-FFF2-40B4-BE49-F238E27FC236}">
                  <a16:creationId xmlns:a16="http://schemas.microsoft.com/office/drawing/2014/main" id="{00000000-0008-0000-1100-000050000000}"/>
                </a:ext>
              </a:extLst>
            </xdr:cNvPr>
            <xdr:cNvCxnSpPr/>
          </xdr:nvCxnSpPr>
          <xdr:spPr>
            <a:xfrm flipH="1">
              <a:off x="4841175" y="3332325"/>
              <a:ext cx="1009650" cy="8953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8" name="image1.jpg">
          <a:extLst>
            <a:ext uri="{FF2B5EF4-FFF2-40B4-BE49-F238E27FC236}">
              <a16:creationId xmlns:a16="http://schemas.microsoft.com/office/drawing/2014/main" id="{00000000-0008-0000-11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1200-000002000000}"/>
            </a:ext>
          </a:extLst>
        </xdr:cNvPr>
        <xdr:cNvGrpSpPr/>
      </xdr:nvGrpSpPr>
      <xdr:grpSpPr>
        <a:xfrm>
          <a:off x="342900" y="1819275"/>
          <a:ext cx="238125" cy="257175"/>
          <a:chOff x="5226938" y="3651413"/>
          <a:chExt cx="238125" cy="257175"/>
        </a:xfrm>
      </xdr:grpSpPr>
      <xdr:grpSp>
        <xdr:nvGrpSpPr>
          <xdr:cNvPr id="81" name="Shape 81">
            <a:extLst>
              <a:ext uri="{FF2B5EF4-FFF2-40B4-BE49-F238E27FC236}">
                <a16:creationId xmlns:a16="http://schemas.microsoft.com/office/drawing/2014/main" id="{00000000-0008-0000-1200-000051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12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 name="Shape 82">
              <a:extLst>
                <a:ext uri="{FF2B5EF4-FFF2-40B4-BE49-F238E27FC236}">
                  <a16:creationId xmlns:a16="http://schemas.microsoft.com/office/drawing/2014/main" id="{00000000-0008-0000-1200-000052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0</xdr:colOff>
      <xdr:row>8</xdr:row>
      <xdr:rowOff>28575</xdr:rowOff>
    </xdr:from>
    <xdr:ext cx="1390650" cy="1371600"/>
    <xdr:grpSp>
      <xdr:nvGrpSpPr>
        <xdr:cNvPr id="3" name="Shape 2">
          <a:extLst>
            <a:ext uri="{FF2B5EF4-FFF2-40B4-BE49-F238E27FC236}">
              <a16:creationId xmlns:a16="http://schemas.microsoft.com/office/drawing/2014/main" id="{00000000-0008-0000-1200-000003000000}"/>
            </a:ext>
          </a:extLst>
        </xdr:cNvPr>
        <xdr:cNvGrpSpPr/>
      </xdr:nvGrpSpPr>
      <xdr:grpSpPr>
        <a:xfrm>
          <a:off x="0" y="1866900"/>
          <a:ext cx="1390650" cy="1371600"/>
          <a:chOff x="4650675" y="3094200"/>
          <a:chExt cx="1390650" cy="1371600"/>
        </a:xfrm>
      </xdr:grpSpPr>
      <xdr:grpSp>
        <xdr:nvGrpSpPr>
          <xdr:cNvPr id="83" name="Shape 83">
            <a:extLst>
              <a:ext uri="{FF2B5EF4-FFF2-40B4-BE49-F238E27FC236}">
                <a16:creationId xmlns:a16="http://schemas.microsoft.com/office/drawing/2014/main" id="{00000000-0008-0000-1200-000053000000}"/>
              </a:ext>
            </a:extLst>
          </xdr:cNvPr>
          <xdr:cNvGrpSpPr/>
        </xdr:nvGrpSpPr>
        <xdr:grpSpPr>
          <a:xfrm>
            <a:off x="4650675" y="3094200"/>
            <a:ext cx="1390650" cy="1371600"/>
            <a:chOff x="4655438" y="3098963"/>
            <a:chExt cx="1381125" cy="1362075"/>
          </a:xfrm>
        </xdr:grpSpPr>
        <xdr:sp macro="" textlink="">
          <xdr:nvSpPr>
            <xdr:cNvPr id="5" name="Shape 4">
              <a:extLst>
                <a:ext uri="{FF2B5EF4-FFF2-40B4-BE49-F238E27FC236}">
                  <a16:creationId xmlns:a16="http://schemas.microsoft.com/office/drawing/2014/main" id="{00000000-0008-0000-1200-000005000000}"/>
                </a:ext>
              </a:extLst>
            </xdr:cNvPr>
            <xdr:cNvSpPr/>
          </xdr:nvSpPr>
          <xdr:spPr>
            <a:xfrm>
              <a:off x="4655438" y="3098963"/>
              <a:ext cx="1381125"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 name="Shape 84">
              <a:extLst>
                <a:ext uri="{FF2B5EF4-FFF2-40B4-BE49-F238E27FC236}">
                  <a16:creationId xmlns:a16="http://schemas.microsoft.com/office/drawing/2014/main" id="{00000000-0008-0000-1200-000054000000}"/>
                </a:ext>
              </a:extLst>
            </xdr:cNvPr>
            <xdr:cNvCxnSpPr/>
          </xdr:nvCxnSpPr>
          <xdr:spPr>
            <a:xfrm flipH="1">
              <a:off x="4655438" y="3098963"/>
              <a:ext cx="1381125" cy="13620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0</xdr:colOff>
      <xdr:row>8</xdr:row>
      <xdr:rowOff>9525</xdr:rowOff>
    </xdr:from>
    <xdr:ext cx="1019175" cy="895350"/>
    <xdr:grpSp>
      <xdr:nvGrpSpPr>
        <xdr:cNvPr id="6" name="Shape 2">
          <a:extLst>
            <a:ext uri="{FF2B5EF4-FFF2-40B4-BE49-F238E27FC236}">
              <a16:creationId xmlns:a16="http://schemas.microsoft.com/office/drawing/2014/main" id="{00000000-0008-0000-1200-000006000000}"/>
            </a:ext>
          </a:extLst>
        </xdr:cNvPr>
        <xdr:cNvGrpSpPr/>
      </xdr:nvGrpSpPr>
      <xdr:grpSpPr>
        <a:xfrm>
          <a:off x="0" y="1847850"/>
          <a:ext cx="1019175" cy="895350"/>
          <a:chOff x="4836413" y="3332325"/>
          <a:chExt cx="1019175" cy="895350"/>
        </a:xfrm>
      </xdr:grpSpPr>
      <xdr:grpSp>
        <xdr:nvGrpSpPr>
          <xdr:cNvPr id="85" name="Shape 85">
            <a:extLst>
              <a:ext uri="{FF2B5EF4-FFF2-40B4-BE49-F238E27FC236}">
                <a16:creationId xmlns:a16="http://schemas.microsoft.com/office/drawing/2014/main" id="{00000000-0008-0000-1200-000055000000}"/>
              </a:ext>
            </a:extLst>
          </xdr:cNvPr>
          <xdr:cNvGrpSpPr/>
        </xdr:nvGrpSpPr>
        <xdr:grpSpPr>
          <a:xfrm>
            <a:off x="4836413" y="3332325"/>
            <a:ext cx="1019175" cy="895350"/>
            <a:chOff x="4841175" y="3332325"/>
            <a:chExt cx="1009650" cy="895350"/>
          </a:xfrm>
        </xdr:grpSpPr>
        <xdr:sp macro="" textlink="">
          <xdr:nvSpPr>
            <xdr:cNvPr id="7" name="Shape 4">
              <a:extLst>
                <a:ext uri="{FF2B5EF4-FFF2-40B4-BE49-F238E27FC236}">
                  <a16:creationId xmlns:a16="http://schemas.microsoft.com/office/drawing/2014/main" id="{00000000-0008-0000-1200-000007000000}"/>
                </a:ext>
              </a:extLst>
            </xdr:cNvPr>
            <xdr:cNvSpPr/>
          </xdr:nvSpPr>
          <xdr:spPr>
            <a:xfrm>
              <a:off x="4841175" y="3332325"/>
              <a:ext cx="1009650" cy="895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 name="Shape 86">
              <a:extLst>
                <a:ext uri="{FF2B5EF4-FFF2-40B4-BE49-F238E27FC236}">
                  <a16:creationId xmlns:a16="http://schemas.microsoft.com/office/drawing/2014/main" id="{00000000-0008-0000-1200-000056000000}"/>
                </a:ext>
              </a:extLst>
            </xdr:cNvPr>
            <xdr:cNvCxnSpPr/>
          </xdr:nvCxnSpPr>
          <xdr:spPr>
            <a:xfrm flipH="1">
              <a:off x="4841175" y="3332325"/>
              <a:ext cx="1009650" cy="8953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13</xdr:col>
      <xdr:colOff>133350</xdr:colOff>
      <xdr:row>0</xdr:row>
      <xdr:rowOff>0</xdr:rowOff>
    </xdr:from>
    <xdr:ext cx="1571625" cy="609600"/>
    <xdr:pic>
      <xdr:nvPicPr>
        <xdr:cNvPr id="8" name="image1.jpg">
          <a:extLst>
            <a:ext uri="{FF2B5EF4-FFF2-40B4-BE49-F238E27FC236}">
              <a16:creationId xmlns:a16="http://schemas.microsoft.com/office/drawing/2014/main" id="{00000000-0008-0000-12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342900</xdr:colOff>
      <xdr:row>7</xdr:row>
      <xdr:rowOff>19050</xdr:rowOff>
    </xdr:from>
    <xdr:ext cx="714375" cy="200025"/>
    <xdr:grpSp>
      <xdr:nvGrpSpPr>
        <xdr:cNvPr id="2" name="Shape 2">
          <a:extLst>
            <a:ext uri="{FF2B5EF4-FFF2-40B4-BE49-F238E27FC236}">
              <a16:creationId xmlns:a16="http://schemas.microsoft.com/office/drawing/2014/main" id="{00000000-0008-0000-1300-000002000000}"/>
            </a:ext>
          </a:extLst>
        </xdr:cNvPr>
        <xdr:cNvGrpSpPr/>
      </xdr:nvGrpSpPr>
      <xdr:grpSpPr>
        <a:xfrm>
          <a:off x="342900" y="1666875"/>
          <a:ext cx="714375" cy="200025"/>
          <a:chOff x="4988813" y="3679988"/>
          <a:chExt cx="714375" cy="200025"/>
        </a:xfrm>
      </xdr:grpSpPr>
      <xdr:grpSp>
        <xdr:nvGrpSpPr>
          <xdr:cNvPr id="87" name="Shape 87">
            <a:extLst>
              <a:ext uri="{FF2B5EF4-FFF2-40B4-BE49-F238E27FC236}">
                <a16:creationId xmlns:a16="http://schemas.microsoft.com/office/drawing/2014/main" id="{00000000-0008-0000-1300-000057000000}"/>
              </a:ext>
            </a:extLst>
          </xdr:cNvPr>
          <xdr:cNvGrpSpPr/>
        </xdr:nvGrpSpPr>
        <xdr:grpSpPr>
          <a:xfrm>
            <a:off x="4988813" y="3679988"/>
            <a:ext cx="714375" cy="200025"/>
            <a:chOff x="4993575" y="3679988"/>
            <a:chExt cx="704850" cy="200025"/>
          </a:xfrm>
        </xdr:grpSpPr>
        <xdr:sp macro="" textlink="">
          <xdr:nvSpPr>
            <xdr:cNvPr id="4" name="Shape 4">
              <a:extLst>
                <a:ext uri="{FF2B5EF4-FFF2-40B4-BE49-F238E27FC236}">
                  <a16:creationId xmlns:a16="http://schemas.microsoft.com/office/drawing/2014/main" id="{00000000-0008-0000-1300-000004000000}"/>
                </a:ext>
              </a:extLst>
            </xdr:cNvPr>
            <xdr:cNvSpPr/>
          </xdr:nvSpPr>
          <xdr:spPr>
            <a:xfrm>
              <a:off x="4993575" y="3679988"/>
              <a:ext cx="704850"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 name="Shape 88">
              <a:extLst>
                <a:ext uri="{FF2B5EF4-FFF2-40B4-BE49-F238E27FC236}">
                  <a16:creationId xmlns:a16="http://schemas.microsoft.com/office/drawing/2014/main" id="{00000000-0008-0000-1300-000058000000}"/>
                </a:ext>
              </a:extLst>
            </xdr:cNvPr>
            <xdr:cNvCxnSpPr/>
          </xdr:nvCxnSpPr>
          <xdr:spPr>
            <a:xfrm flipH="1">
              <a:off x="4993575" y="3679988"/>
              <a:ext cx="704850" cy="2000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1400-000002000000}"/>
            </a:ext>
          </a:extLst>
        </xdr:cNvPr>
        <xdr:cNvGrpSpPr/>
      </xdr:nvGrpSpPr>
      <xdr:grpSpPr>
        <a:xfrm>
          <a:off x="342900" y="1628775"/>
          <a:ext cx="238125" cy="257175"/>
          <a:chOff x="5226938" y="3651413"/>
          <a:chExt cx="238125" cy="257175"/>
        </a:xfrm>
      </xdr:grpSpPr>
      <xdr:grpSp>
        <xdr:nvGrpSpPr>
          <xdr:cNvPr id="89" name="Shape 89">
            <a:extLst>
              <a:ext uri="{FF2B5EF4-FFF2-40B4-BE49-F238E27FC236}">
                <a16:creationId xmlns:a16="http://schemas.microsoft.com/office/drawing/2014/main" id="{00000000-0008-0000-1400-000059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14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 name="Shape 90">
              <a:extLst>
                <a:ext uri="{FF2B5EF4-FFF2-40B4-BE49-F238E27FC236}">
                  <a16:creationId xmlns:a16="http://schemas.microsoft.com/office/drawing/2014/main" id="{00000000-0008-0000-1400-00005A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0</xdr:col>
      <xdr:colOff>266700</xdr:colOff>
      <xdr:row>7</xdr:row>
      <xdr:rowOff>19050</xdr:rowOff>
    </xdr:from>
    <xdr:ext cx="238125" cy="247650"/>
    <xdr:grpSp>
      <xdr:nvGrpSpPr>
        <xdr:cNvPr id="2" name="Shape 2">
          <a:extLst>
            <a:ext uri="{FF2B5EF4-FFF2-40B4-BE49-F238E27FC236}">
              <a16:creationId xmlns:a16="http://schemas.microsoft.com/office/drawing/2014/main" id="{00000000-0008-0000-1500-000002000000}"/>
            </a:ext>
          </a:extLst>
        </xdr:cNvPr>
        <xdr:cNvGrpSpPr/>
      </xdr:nvGrpSpPr>
      <xdr:grpSpPr>
        <a:xfrm>
          <a:off x="266700" y="1666875"/>
          <a:ext cx="238125" cy="247650"/>
          <a:chOff x="5226938" y="3656175"/>
          <a:chExt cx="238125" cy="247650"/>
        </a:xfrm>
      </xdr:grpSpPr>
      <xdr:grpSp>
        <xdr:nvGrpSpPr>
          <xdr:cNvPr id="91" name="Shape 91">
            <a:extLst>
              <a:ext uri="{FF2B5EF4-FFF2-40B4-BE49-F238E27FC236}">
                <a16:creationId xmlns:a16="http://schemas.microsoft.com/office/drawing/2014/main" id="{00000000-0008-0000-1500-00005B000000}"/>
              </a:ext>
            </a:extLst>
          </xdr:cNvPr>
          <xdr:cNvGrpSpPr/>
        </xdr:nvGrpSpPr>
        <xdr:grpSpPr>
          <a:xfrm>
            <a:off x="5226938" y="3656175"/>
            <a:ext cx="238125" cy="247650"/>
            <a:chOff x="5231700" y="3660938"/>
            <a:chExt cx="228600" cy="238125"/>
          </a:xfrm>
        </xdr:grpSpPr>
        <xdr:sp macro="" textlink="">
          <xdr:nvSpPr>
            <xdr:cNvPr id="4" name="Shape 4">
              <a:extLst>
                <a:ext uri="{FF2B5EF4-FFF2-40B4-BE49-F238E27FC236}">
                  <a16:creationId xmlns:a16="http://schemas.microsoft.com/office/drawing/2014/main" id="{00000000-0008-0000-1500-000004000000}"/>
                </a:ext>
              </a:extLst>
            </xdr:cNvPr>
            <xdr:cNvSpPr/>
          </xdr:nvSpPr>
          <xdr:spPr>
            <a:xfrm>
              <a:off x="5231700" y="3660938"/>
              <a:ext cx="2286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 name="Shape 92">
              <a:extLst>
                <a:ext uri="{FF2B5EF4-FFF2-40B4-BE49-F238E27FC236}">
                  <a16:creationId xmlns:a16="http://schemas.microsoft.com/office/drawing/2014/main" id="{00000000-0008-0000-1500-00005C000000}"/>
                </a:ext>
              </a:extLst>
            </xdr:cNvPr>
            <xdr:cNvCxnSpPr/>
          </xdr:nvCxnSpPr>
          <xdr:spPr>
            <a:xfrm flipH="1">
              <a:off x="5231700" y="3660938"/>
              <a:ext cx="228600" cy="2381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1600-000002000000}"/>
            </a:ext>
          </a:extLst>
        </xdr:cNvPr>
        <xdr:cNvGrpSpPr/>
      </xdr:nvGrpSpPr>
      <xdr:grpSpPr>
        <a:xfrm>
          <a:off x="342900" y="1819275"/>
          <a:ext cx="238125" cy="257175"/>
          <a:chOff x="5226938" y="3651413"/>
          <a:chExt cx="238125" cy="257175"/>
        </a:xfrm>
      </xdr:grpSpPr>
      <xdr:grpSp>
        <xdr:nvGrpSpPr>
          <xdr:cNvPr id="93" name="Shape 93">
            <a:extLst>
              <a:ext uri="{FF2B5EF4-FFF2-40B4-BE49-F238E27FC236}">
                <a16:creationId xmlns:a16="http://schemas.microsoft.com/office/drawing/2014/main" id="{00000000-0008-0000-1600-00005D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16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 name="Shape 94">
              <a:extLst>
                <a:ext uri="{FF2B5EF4-FFF2-40B4-BE49-F238E27FC236}">
                  <a16:creationId xmlns:a16="http://schemas.microsoft.com/office/drawing/2014/main" id="{00000000-0008-0000-1600-00005E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dr:oneCellAnchor>
    <xdr:from>
      <xdr:col>0</xdr:col>
      <xdr:colOff>342900</xdr:colOff>
      <xdr:row>7</xdr:row>
      <xdr:rowOff>180975</xdr:rowOff>
    </xdr:from>
    <xdr:ext cx="457200" cy="257175"/>
    <xdr:grpSp>
      <xdr:nvGrpSpPr>
        <xdr:cNvPr id="2" name="Shape 2">
          <a:extLst>
            <a:ext uri="{FF2B5EF4-FFF2-40B4-BE49-F238E27FC236}">
              <a16:creationId xmlns:a16="http://schemas.microsoft.com/office/drawing/2014/main" id="{00000000-0008-0000-1700-000002000000}"/>
            </a:ext>
          </a:extLst>
        </xdr:cNvPr>
        <xdr:cNvGrpSpPr/>
      </xdr:nvGrpSpPr>
      <xdr:grpSpPr>
        <a:xfrm>
          <a:off x="342900" y="1819275"/>
          <a:ext cx="457200" cy="257175"/>
          <a:chOff x="5117400" y="3651413"/>
          <a:chExt cx="457200" cy="257175"/>
        </a:xfrm>
      </xdr:grpSpPr>
      <xdr:grpSp>
        <xdr:nvGrpSpPr>
          <xdr:cNvPr id="95" name="Shape 95">
            <a:extLst>
              <a:ext uri="{FF2B5EF4-FFF2-40B4-BE49-F238E27FC236}">
                <a16:creationId xmlns:a16="http://schemas.microsoft.com/office/drawing/2014/main" id="{00000000-0008-0000-1700-00005F000000}"/>
              </a:ext>
            </a:extLst>
          </xdr:cNvPr>
          <xdr:cNvGrpSpPr/>
        </xdr:nvGrpSpPr>
        <xdr:grpSpPr>
          <a:xfrm>
            <a:off x="5117400" y="3651413"/>
            <a:ext cx="457200" cy="257175"/>
            <a:chOff x="5122163" y="3656175"/>
            <a:chExt cx="447675" cy="247650"/>
          </a:xfrm>
        </xdr:grpSpPr>
        <xdr:sp macro="" textlink="">
          <xdr:nvSpPr>
            <xdr:cNvPr id="4" name="Shape 4">
              <a:extLst>
                <a:ext uri="{FF2B5EF4-FFF2-40B4-BE49-F238E27FC236}">
                  <a16:creationId xmlns:a16="http://schemas.microsoft.com/office/drawing/2014/main" id="{00000000-0008-0000-1700-000004000000}"/>
                </a:ext>
              </a:extLst>
            </xdr:cNvPr>
            <xdr:cNvSpPr/>
          </xdr:nvSpPr>
          <xdr:spPr>
            <a:xfrm>
              <a:off x="5122163" y="3656175"/>
              <a:ext cx="4476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 name="Shape 96">
              <a:extLst>
                <a:ext uri="{FF2B5EF4-FFF2-40B4-BE49-F238E27FC236}">
                  <a16:creationId xmlns:a16="http://schemas.microsoft.com/office/drawing/2014/main" id="{00000000-0008-0000-1700-000060000000}"/>
                </a:ext>
              </a:extLst>
            </xdr:cNvPr>
            <xdr:cNvCxnSpPr/>
          </xdr:nvCxnSpPr>
          <xdr:spPr>
            <a:xfrm flipH="1">
              <a:off x="5122163" y="3656175"/>
              <a:ext cx="44767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1800-000002000000}"/>
            </a:ext>
          </a:extLst>
        </xdr:cNvPr>
        <xdr:cNvGrpSpPr/>
      </xdr:nvGrpSpPr>
      <xdr:grpSpPr>
        <a:xfrm>
          <a:off x="342900" y="1819275"/>
          <a:ext cx="238125" cy="257175"/>
          <a:chOff x="5226938" y="3651413"/>
          <a:chExt cx="238125" cy="257175"/>
        </a:xfrm>
      </xdr:grpSpPr>
      <xdr:grpSp>
        <xdr:nvGrpSpPr>
          <xdr:cNvPr id="97" name="Shape 97">
            <a:extLst>
              <a:ext uri="{FF2B5EF4-FFF2-40B4-BE49-F238E27FC236}">
                <a16:creationId xmlns:a16="http://schemas.microsoft.com/office/drawing/2014/main" id="{00000000-0008-0000-1800-000061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18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8" name="Shape 98">
              <a:extLst>
                <a:ext uri="{FF2B5EF4-FFF2-40B4-BE49-F238E27FC236}">
                  <a16:creationId xmlns:a16="http://schemas.microsoft.com/office/drawing/2014/main" id="{00000000-0008-0000-1800-000062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8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dr:oneCellAnchor>
    <xdr:from>
      <xdr:col>0</xdr:col>
      <xdr:colOff>342900</xdr:colOff>
      <xdr:row>8</xdr:row>
      <xdr:rowOff>9525</xdr:rowOff>
    </xdr:from>
    <xdr:ext cx="733425" cy="219075"/>
    <xdr:grpSp>
      <xdr:nvGrpSpPr>
        <xdr:cNvPr id="2" name="Shape 2">
          <a:extLst>
            <a:ext uri="{FF2B5EF4-FFF2-40B4-BE49-F238E27FC236}">
              <a16:creationId xmlns:a16="http://schemas.microsoft.com/office/drawing/2014/main" id="{00000000-0008-0000-1900-000002000000}"/>
            </a:ext>
          </a:extLst>
        </xdr:cNvPr>
        <xdr:cNvGrpSpPr/>
      </xdr:nvGrpSpPr>
      <xdr:grpSpPr>
        <a:xfrm>
          <a:off x="342900" y="1847850"/>
          <a:ext cx="733425" cy="219075"/>
          <a:chOff x="4979288" y="3670463"/>
          <a:chExt cx="733425" cy="219075"/>
        </a:xfrm>
      </xdr:grpSpPr>
      <xdr:grpSp>
        <xdr:nvGrpSpPr>
          <xdr:cNvPr id="99" name="Shape 99">
            <a:extLst>
              <a:ext uri="{FF2B5EF4-FFF2-40B4-BE49-F238E27FC236}">
                <a16:creationId xmlns:a16="http://schemas.microsoft.com/office/drawing/2014/main" id="{00000000-0008-0000-1900-000063000000}"/>
              </a:ext>
            </a:extLst>
          </xdr:cNvPr>
          <xdr:cNvGrpSpPr/>
        </xdr:nvGrpSpPr>
        <xdr:grpSpPr>
          <a:xfrm>
            <a:off x="4979288" y="3670463"/>
            <a:ext cx="733425" cy="219075"/>
            <a:chOff x="4984050" y="3675225"/>
            <a:chExt cx="723900" cy="209550"/>
          </a:xfrm>
        </xdr:grpSpPr>
        <xdr:sp macro="" textlink="">
          <xdr:nvSpPr>
            <xdr:cNvPr id="4" name="Shape 4">
              <a:extLst>
                <a:ext uri="{FF2B5EF4-FFF2-40B4-BE49-F238E27FC236}">
                  <a16:creationId xmlns:a16="http://schemas.microsoft.com/office/drawing/2014/main" id="{00000000-0008-0000-1900-000004000000}"/>
                </a:ext>
              </a:extLst>
            </xdr:cNvPr>
            <xdr:cNvSpPr/>
          </xdr:nvSpPr>
          <xdr:spPr>
            <a:xfrm>
              <a:off x="4984050" y="3675225"/>
              <a:ext cx="72390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0" name="Shape 100">
              <a:extLst>
                <a:ext uri="{FF2B5EF4-FFF2-40B4-BE49-F238E27FC236}">
                  <a16:creationId xmlns:a16="http://schemas.microsoft.com/office/drawing/2014/main" id="{00000000-0008-0000-1900-000064000000}"/>
                </a:ext>
              </a:extLst>
            </xdr:cNvPr>
            <xdr:cNvCxnSpPr/>
          </xdr:nvCxnSpPr>
          <xdr:spPr>
            <a:xfrm flipH="1">
              <a:off x="4984050" y="3675225"/>
              <a:ext cx="723900"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8</xdr:row>
      <xdr:rowOff>0</xdr:rowOff>
    </xdr:from>
    <xdr:ext cx="1752600" cy="819150"/>
    <xdr:grpSp>
      <xdr:nvGrpSpPr>
        <xdr:cNvPr id="3" name="Shape 2">
          <a:extLst>
            <a:ext uri="{FF2B5EF4-FFF2-40B4-BE49-F238E27FC236}">
              <a16:creationId xmlns:a16="http://schemas.microsoft.com/office/drawing/2014/main" id="{00000000-0008-0000-1900-000003000000}"/>
            </a:ext>
          </a:extLst>
        </xdr:cNvPr>
        <xdr:cNvGrpSpPr/>
      </xdr:nvGrpSpPr>
      <xdr:grpSpPr>
        <a:xfrm>
          <a:off x="428625" y="1838325"/>
          <a:ext cx="1752600" cy="819150"/>
          <a:chOff x="4469700" y="3370425"/>
          <a:chExt cx="1752600" cy="819150"/>
        </a:xfrm>
      </xdr:grpSpPr>
      <xdr:grpSp>
        <xdr:nvGrpSpPr>
          <xdr:cNvPr id="101" name="Shape 101">
            <a:extLst>
              <a:ext uri="{FF2B5EF4-FFF2-40B4-BE49-F238E27FC236}">
                <a16:creationId xmlns:a16="http://schemas.microsoft.com/office/drawing/2014/main" id="{00000000-0008-0000-1900-000065000000}"/>
              </a:ext>
            </a:extLst>
          </xdr:cNvPr>
          <xdr:cNvGrpSpPr/>
        </xdr:nvGrpSpPr>
        <xdr:grpSpPr>
          <a:xfrm>
            <a:off x="4469700" y="3370425"/>
            <a:ext cx="1752600" cy="819150"/>
            <a:chOff x="4474463" y="3375188"/>
            <a:chExt cx="1743075" cy="809625"/>
          </a:xfrm>
        </xdr:grpSpPr>
        <xdr:sp macro="" textlink="">
          <xdr:nvSpPr>
            <xdr:cNvPr id="5" name="Shape 4">
              <a:extLst>
                <a:ext uri="{FF2B5EF4-FFF2-40B4-BE49-F238E27FC236}">
                  <a16:creationId xmlns:a16="http://schemas.microsoft.com/office/drawing/2014/main" id="{00000000-0008-0000-1900-000005000000}"/>
                </a:ext>
              </a:extLst>
            </xdr:cNvPr>
            <xdr:cNvSpPr/>
          </xdr:nvSpPr>
          <xdr:spPr>
            <a:xfrm>
              <a:off x="4474463" y="3375188"/>
              <a:ext cx="1743075" cy="80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2" name="Shape 102">
              <a:extLst>
                <a:ext uri="{FF2B5EF4-FFF2-40B4-BE49-F238E27FC236}">
                  <a16:creationId xmlns:a16="http://schemas.microsoft.com/office/drawing/2014/main" id="{00000000-0008-0000-1900-000066000000}"/>
                </a:ext>
              </a:extLst>
            </xdr:cNvPr>
            <xdr:cNvCxnSpPr/>
          </xdr:nvCxnSpPr>
          <xdr:spPr>
            <a:xfrm flipH="1">
              <a:off x="4474463" y="3375188"/>
              <a:ext cx="1743075" cy="8096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6" name="image1.jpg">
          <a:extLst>
            <a:ext uri="{FF2B5EF4-FFF2-40B4-BE49-F238E27FC236}">
              <a16:creationId xmlns:a16="http://schemas.microsoft.com/office/drawing/2014/main" id="{00000000-0008-0000-19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dr:oneCellAnchor>
    <xdr:from>
      <xdr:col>0</xdr:col>
      <xdr:colOff>342900</xdr:colOff>
      <xdr:row>7</xdr:row>
      <xdr:rowOff>19050</xdr:rowOff>
    </xdr:from>
    <xdr:ext cx="381000" cy="200025"/>
    <xdr:grpSp>
      <xdr:nvGrpSpPr>
        <xdr:cNvPr id="2" name="Shape 2">
          <a:extLst>
            <a:ext uri="{FF2B5EF4-FFF2-40B4-BE49-F238E27FC236}">
              <a16:creationId xmlns:a16="http://schemas.microsoft.com/office/drawing/2014/main" id="{00000000-0008-0000-1A00-000002000000}"/>
            </a:ext>
          </a:extLst>
        </xdr:cNvPr>
        <xdr:cNvGrpSpPr/>
      </xdr:nvGrpSpPr>
      <xdr:grpSpPr>
        <a:xfrm>
          <a:off x="342900" y="1666875"/>
          <a:ext cx="381000" cy="200025"/>
          <a:chOff x="5155500" y="3679988"/>
          <a:chExt cx="381000" cy="200025"/>
        </a:xfrm>
      </xdr:grpSpPr>
      <xdr:grpSp>
        <xdr:nvGrpSpPr>
          <xdr:cNvPr id="103" name="Shape 103">
            <a:extLst>
              <a:ext uri="{FF2B5EF4-FFF2-40B4-BE49-F238E27FC236}">
                <a16:creationId xmlns:a16="http://schemas.microsoft.com/office/drawing/2014/main" id="{00000000-0008-0000-1A00-000067000000}"/>
              </a:ext>
            </a:extLst>
          </xdr:cNvPr>
          <xdr:cNvGrpSpPr/>
        </xdr:nvGrpSpPr>
        <xdr:grpSpPr>
          <a:xfrm>
            <a:off x="5155500" y="3679988"/>
            <a:ext cx="381000" cy="200025"/>
            <a:chOff x="5160263" y="3679988"/>
            <a:chExt cx="371475" cy="200025"/>
          </a:xfrm>
        </xdr:grpSpPr>
        <xdr:sp macro="" textlink="">
          <xdr:nvSpPr>
            <xdr:cNvPr id="4" name="Shape 4">
              <a:extLst>
                <a:ext uri="{FF2B5EF4-FFF2-40B4-BE49-F238E27FC236}">
                  <a16:creationId xmlns:a16="http://schemas.microsoft.com/office/drawing/2014/main" id="{00000000-0008-0000-1A00-000004000000}"/>
                </a:ext>
              </a:extLst>
            </xdr:cNvPr>
            <xdr:cNvSpPr/>
          </xdr:nvSpPr>
          <xdr:spPr>
            <a:xfrm>
              <a:off x="5160263" y="3679988"/>
              <a:ext cx="37147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4" name="Shape 104">
              <a:extLst>
                <a:ext uri="{FF2B5EF4-FFF2-40B4-BE49-F238E27FC236}">
                  <a16:creationId xmlns:a16="http://schemas.microsoft.com/office/drawing/2014/main" id="{00000000-0008-0000-1A00-000068000000}"/>
                </a:ext>
              </a:extLst>
            </xdr:cNvPr>
            <xdr:cNvCxnSpPr/>
          </xdr:nvCxnSpPr>
          <xdr:spPr>
            <a:xfrm flipH="1">
              <a:off x="5160263" y="3679988"/>
              <a:ext cx="371475" cy="2000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A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1B00-000002000000}"/>
            </a:ext>
          </a:extLst>
        </xdr:cNvPr>
        <xdr:cNvGrpSpPr/>
      </xdr:nvGrpSpPr>
      <xdr:grpSpPr>
        <a:xfrm>
          <a:off x="342900" y="1628775"/>
          <a:ext cx="238125" cy="257175"/>
          <a:chOff x="5226938" y="3651413"/>
          <a:chExt cx="238125" cy="257175"/>
        </a:xfrm>
      </xdr:grpSpPr>
      <xdr:grpSp>
        <xdr:nvGrpSpPr>
          <xdr:cNvPr id="105" name="Shape 105">
            <a:extLst>
              <a:ext uri="{FF2B5EF4-FFF2-40B4-BE49-F238E27FC236}">
                <a16:creationId xmlns:a16="http://schemas.microsoft.com/office/drawing/2014/main" id="{00000000-0008-0000-1B00-000069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1B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6" name="Shape 106">
              <a:extLst>
                <a:ext uri="{FF2B5EF4-FFF2-40B4-BE49-F238E27FC236}">
                  <a16:creationId xmlns:a16="http://schemas.microsoft.com/office/drawing/2014/main" id="{00000000-0008-0000-1B00-00006A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B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dr:oneCellAnchor>
    <xdr:from>
      <xdr:col>0</xdr:col>
      <xdr:colOff>342900</xdr:colOff>
      <xdr:row>6</xdr:row>
      <xdr:rowOff>171450</xdr:rowOff>
    </xdr:from>
    <xdr:ext cx="923925" cy="266700"/>
    <xdr:grpSp>
      <xdr:nvGrpSpPr>
        <xdr:cNvPr id="2" name="Shape 2">
          <a:extLst>
            <a:ext uri="{FF2B5EF4-FFF2-40B4-BE49-F238E27FC236}">
              <a16:creationId xmlns:a16="http://schemas.microsoft.com/office/drawing/2014/main" id="{00000000-0008-0000-1C00-000002000000}"/>
            </a:ext>
          </a:extLst>
        </xdr:cNvPr>
        <xdr:cNvGrpSpPr/>
      </xdr:nvGrpSpPr>
      <xdr:grpSpPr>
        <a:xfrm>
          <a:off x="342900" y="1619250"/>
          <a:ext cx="923925" cy="266700"/>
          <a:chOff x="4884038" y="3646650"/>
          <a:chExt cx="923925" cy="266700"/>
        </a:xfrm>
      </xdr:grpSpPr>
      <xdr:grpSp>
        <xdr:nvGrpSpPr>
          <xdr:cNvPr id="107" name="Shape 107">
            <a:extLst>
              <a:ext uri="{FF2B5EF4-FFF2-40B4-BE49-F238E27FC236}">
                <a16:creationId xmlns:a16="http://schemas.microsoft.com/office/drawing/2014/main" id="{00000000-0008-0000-1C00-00006B000000}"/>
              </a:ext>
            </a:extLst>
          </xdr:cNvPr>
          <xdr:cNvGrpSpPr/>
        </xdr:nvGrpSpPr>
        <xdr:grpSpPr>
          <a:xfrm>
            <a:off x="4884038" y="3646650"/>
            <a:ext cx="923925" cy="266700"/>
            <a:chOff x="4888800" y="3651413"/>
            <a:chExt cx="914400" cy="257175"/>
          </a:xfrm>
        </xdr:grpSpPr>
        <xdr:sp macro="" textlink="">
          <xdr:nvSpPr>
            <xdr:cNvPr id="4" name="Shape 4">
              <a:extLst>
                <a:ext uri="{FF2B5EF4-FFF2-40B4-BE49-F238E27FC236}">
                  <a16:creationId xmlns:a16="http://schemas.microsoft.com/office/drawing/2014/main" id="{00000000-0008-0000-1C00-000004000000}"/>
                </a:ext>
              </a:extLst>
            </xdr:cNvPr>
            <xdr:cNvSpPr/>
          </xdr:nvSpPr>
          <xdr:spPr>
            <a:xfrm>
              <a:off x="4888800" y="3651413"/>
              <a:ext cx="914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8" name="Shape 108">
              <a:extLst>
                <a:ext uri="{FF2B5EF4-FFF2-40B4-BE49-F238E27FC236}">
                  <a16:creationId xmlns:a16="http://schemas.microsoft.com/office/drawing/2014/main" id="{00000000-0008-0000-1C00-00006C000000}"/>
                </a:ext>
              </a:extLst>
            </xdr:cNvPr>
            <xdr:cNvCxnSpPr/>
          </xdr:nvCxnSpPr>
          <xdr:spPr>
            <a:xfrm flipH="1">
              <a:off x="4888800" y="3651413"/>
              <a:ext cx="914400" cy="2571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390525</xdr:colOff>
      <xdr:row>6</xdr:row>
      <xdr:rowOff>180975</xdr:rowOff>
    </xdr:from>
    <xdr:ext cx="1676400" cy="857250"/>
    <xdr:grpSp>
      <xdr:nvGrpSpPr>
        <xdr:cNvPr id="3" name="Shape 2">
          <a:extLst>
            <a:ext uri="{FF2B5EF4-FFF2-40B4-BE49-F238E27FC236}">
              <a16:creationId xmlns:a16="http://schemas.microsoft.com/office/drawing/2014/main" id="{00000000-0008-0000-1C00-000003000000}"/>
            </a:ext>
          </a:extLst>
        </xdr:cNvPr>
        <xdr:cNvGrpSpPr/>
      </xdr:nvGrpSpPr>
      <xdr:grpSpPr>
        <a:xfrm>
          <a:off x="390525" y="1628775"/>
          <a:ext cx="1676400" cy="857250"/>
          <a:chOff x="4507800" y="3351375"/>
          <a:chExt cx="1676400" cy="857250"/>
        </a:xfrm>
      </xdr:grpSpPr>
      <xdr:grpSp>
        <xdr:nvGrpSpPr>
          <xdr:cNvPr id="109" name="Shape 109">
            <a:extLst>
              <a:ext uri="{FF2B5EF4-FFF2-40B4-BE49-F238E27FC236}">
                <a16:creationId xmlns:a16="http://schemas.microsoft.com/office/drawing/2014/main" id="{00000000-0008-0000-1C00-00006D000000}"/>
              </a:ext>
            </a:extLst>
          </xdr:cNvPr>
          <xdr:cNvGrpSpPr/>
        </xdr:nvGrpSpPr>
        <xdr:grpSpPr>
          <a:xfrm>
            <a:off x="4507800" y="3351375"/>
            <a:ext cx="1676400" cy="857250"/>
            <a:chOff x="4512563" y="3356138"/>
            <a:chExt cx="1666875" cy="847725"/>
          </a:xfrm>
        </xdr:grpSpPr>
        <xdr:sp macro="" textlink="">
          <xdr:nvSpPr>
            <xdr:cNvPr id="5" name="Shape 4">
              <a:extLst>
                <a:ext uri="{FF2B5EF4-FFF2-40B4-BE49-F238E27FC236}">
                  <a16:creationId xmlns:a16="http://schemas.microsoft.com/office/drawing/2014/main" id="{00000000-0008-0000-1C00-000005000000}"/>
                </a:ext>
              </a:extLst>
            </xdr:cNvPr>
            <xdr:cNvSpPr/>
          </xdr:nvSpPr>
          <xdr:spPr>
            <a:xfrm>
              <a:off x="4512563" y="3356138"/>
              <a:ext cx="1666875" cy="847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0" name="Shape 110">
              <a:extLst>
                <a:ext uri="{FF2B5EF4-FFF2-40B4-BE49-F238E27FC236}">
                  <a16:creationId xmlns:a16="http://schemas.microsoft.com/office/drawing/2014/main" id="{00000000-0008-0000-1C00-00006E000000}"/>
                </a:ext>
              </a:extLst>
            </xdr:cNvPr>
            <xdr:cNvCxnSpPr/>
          </xdr:nvCxnSpPr>
          <xdr:spPr>
            <a:xfrm flipH="1">
              <a:off x="4512563" y="3356138"/>
              <a:ext cx="1666875" cy="8477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752475</xdr:colOff>
      <xdr:row>6</xdr:row>
      <xdr:rowOff>171450</xdr:rowOff>
    </xdr:from>
    <xdr:ext cx="2428875" cy="1657350"/>
    <xdr:grpSp>
      <xdr:nvGrpSpPr>
        <xdr:cNvPr id="6" name="Shape 2">
          <a:extLst>
            <a:ext uri="{FF2B5EF4-FFF2-40B4-BE49-F238E27FC236}">
              <a16:creationId xmlns:a16="http://schemas.microsoft.com/office/drawing/2014/main" id="{00000000-0008-0000-1C00-000006000000}"/>
            </a:ext>
          </a:extLst>
        </xdr:cNvPr>
        <xdr:cNvGrpSpPr/>
      </xdr:nvGrpSpPr>
      <xdr:grpSpPr>
        <a:xfrm>
          <a:off x="752475" y="1619250"/>
          <a:ext cx="2428875" cy="1657350"/>
          <a:chOff x="4131563" y="2951325"/>
          <a:chExt cx="2428875" cy="1657350"/>
        </a:xfrm>
      </xdr:grpSpPr>
      <xdr:grpSp>
        <xdr:nvGrpSpPr>
          <xdr:cNvPr id="111" name="Shape 111">
            <a:extLst>
              <a:ext uri="{FF2B5EF4-FFF2-40B4-BE49-F238E27FC236}">
                <a16:creationId xmlns:a16="http://schemas.microsoft.com/office/drawing/2014/main" id="{00000000-0008-0000-1C00-00006F000000}"/>
              </a:ext>
            </a:extLst>
          </xdr:cNvPr>
          <xdr:cNvGrpSpPr/>
        </xdr:nvGrpSpPr>
        <xdr:grpSpPr>
          <a:xfrm>
            <a:off x="4131563" y="2951325"/>
            <a:ext cx="2428875" cy="1657350"/>
            <a:chOff x="4136325" y="2956088"/>
            <a:chExt cx="2419350" cy="1647825"/>
          </a:xfrm>
        </xdr:grpSpPr>
        <xdr:sp macro="" textlink="">
          <xdr:nvSpPr>
            <xdr:cNvPr id="7" name="Shape 4">
              <a:extLst>
                <a:ext uri="{FF2B5EF4-FFF2-40B4-BE49-F238E27FC236}">
                  <a16:creationId xmlns:a16="http://schemas.microsoft.com/office/drawing/2014/main" id="{00000000-0008-0000-1C00-000007000000}"/>
                </a:ext>
              </a:extLst>
            </xdr:cNvPr>
            <xdr:cNvSpPr/>
          </xdr:nvSpPr>
          <xdr:spPr>
            <a:xfrm>
              <a:off x="4136325" y="2956088"/>
              <a:ext cx="2419350" cy="1647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2" name="Shape 112">
              <a:extLst>
                <a:ext uri="{FF2B5EF4-FFF2-40B4-BE49-F238E27FC236}">
                  <a16:creationId xmlns:a16="http://schemas.microsoft.com/office/drawing/2014/main" id="{00000000-0008-0000-1C00-000070000000}"/>
                </a:ext>
              </a:extLst>
            </xdr:cNvPr>
            <xdr:cNvCxnSpPr/>
          </xdr:nvCxnSpPr>
          <xdr:spPr>
            <a:xfrm flipH="1">
              <a:off x="4136325" y="2956088"/>
              <a:ext cx="2419350" cy="16478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790575</xdr:colOff>
      <xdr:row>7</xdr:row>
      <xdr:rowOff>47625</xdr:rowOff>
    </xdr:from>
    <xdr:ext cx="3505200" cy="2190750"/>
    <xdr:grpSp>
      <xdr:nvGrpSpPr>
        <xdr:cNvPr id="8" name="Shape 2">
          <a:extLst>
            <a:ext uri="{FF2B5EF4-FFF2-40B4-BE49-F238E27FC236}">
              <a16:creationId xmlns:a16="http://schemas.microsoft.com/office/drawing/2014/main" id="{00000000-0008-0000-1C00-000008000000}"/>
            </a:ext>
          </a:extLst>
        </xdr:cNvPr>
        <xdr:cNvGrpSpPr/>
      </xdr:nvGrpSpPr>
      <xdr:grpSpPr>
        <a:xfrm>
          <a:off x="790575" y="1695450"/>
          <a:ext cx="3505200" cy="2190750"/>
          <a:chOff x="3593400" y="2684625"/>
          <a:chExt cx="3505200" cy="2190750"/>
        </a:xfrm>
      </xdr:grpSpPr>
      <xdr:grpSp>
        <xdr:nvGrpSpPr>
          <xdr:cNvPr id="113" name="Shape 113">
            <a:extLst>
              <a:ext uri="{FF2B5EF4-FFF2-40B4-BE49-F238E27FC236}">
                <a16:creationId xmlns:a16="http://schemas.microsoft.com/office/drawing/2014/main" id="{00000000-0008-0000-1C00-000071000000}"/>
              </a:ext>
            </a:extLst>
          </xdr:cNvPr>
          <xdr:cNvGrpSpPr/>
        </xdr:nvGrpSpPr>
        <xdr:grpSpPr>
          <a:xfrm>
            <a:off x="3593400" y="2684625"/>
            <a:ext cx="3505200" cy="2190750"/>
            <a:chOff x="3598163" y="2689388"/>
            <a:chExt cx="3495675" cy="2181225"/>
          </a:xfrm>
        </xdr:grpSpPr>
        <xdr:sp macro="" textlink="">
          <xdr:nvSpPr>
            <xdr:cNvPr id="9" name="Shape 4">
              <a:extLst>
                <a:ext uri="{FF2B5EF4-FFF2-40B4-BE49-F238E27FC236}">
                  <a16:creationId xmlns:a16="http://schemas.microsoft.com/office/drawing/2014/main" id="{00000000-0008-0000-1C00-000009000000}"/>
                </a:ext>
              </a:extLst>
            </xdr:cNvPr>
            <xdr:cNvSpPr/>
          </xdr:nvSpPr>
          <xdr:spPr>
            <a:xfrm>
              <a:off x="3598163" y="2689388"/>
              <a:ext cx="3495675" cy="2181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4" name="Shape 114">
              <a:extLst>
                <a:ext uri="{FF2B5EF4-FFF2-40B4-BE49-F238E27FC236}">
                  <a16:creationId xmlns:a16="http://schemas.microsoft.com/office/drawing/2014/main" id="{00000000-0008-0000-1C00-000072000000}"/>
                </a:ext>
              </a:extLst>
            </xdr:cNvPr>
            <xdr:cNvCxnSpPr/>
          </xdr:nvCxnSpPr>
          <xdr:spPr>
            <a:xfrm flipH="1">
              <a:off x="3598163" y="2689388"/>
              <a:ext cx="3495675" cy="21812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723900</xdr:colOff>
      <xdr:row>57</xdr:row>
      <xdr:rowOff>142875</xdr:rowOff>
    </xdr:from>
    <xdr:ext cx="1485900" cy="742950"/>
    <xdr:grpSp>
      <xdr:nvGrpSpPr>
        <xdr:cNvPr id="10" name="Shape 2">
          <a:extLst>
            <a:ext uri="{FF2B5EF4-FFF2-40B4-BE49-F238E27FC236}">
              <a16:creationId xmlns:a16="http://schemas.microsoft.com/office/drawing/2014/main" id="{00000000-0008-0000-1C00-00000A000000}"/>
            </a:ext>
          </a:extLst>
        </xdr:cNvPr>
        <xdr:cNvGrpSpPr/>
      </xdr:nvGrpSpPr>
      <xdr:grpSpPr>
        <a:xfrm>
          <a:off x="723900" y="11696700"/>
          <a:ext cx="1485900" cy="742950"/>
          <a:chOff x="4603050" y="3408525"/>
          <a:chExt cx="1485900" cy="742950"/>
        </a:xfrm>
      </xdr:grpSpPr>
      <xdr:grpSp>
        <xdr:nvGrpSpPr>
          <xdr:cNvPr id="115" name="Shape 115">
            <a:extLst>
              <a:ext uri="{FF2B5EF4-FFF2-40B4-BE49-F238E27FC236}">
                <a16:creationId xmlns:a16="http://schemas.microsoft.com/office/drawing/2014/main" id="{00000000-0008-0000-1C00-000073000000}"/>
              </a:ext>
            </a:extLst>
          </xdr:cNvPr>
          <xdr:cNvGrpSpPr/>
        </xdr:nvGrpSpPr>
        <xdr:grpSpPr>
          <a:xfrm>
            <a:off x="4603050" y="3408525"/>
            <a:ext cx="1485900" cy="742950"/>
            <a:chOff x="4607813" y="3413288"/>
            <a:chExt cx="1476375" cy="733425"/>
          </a:xfrm>
        </xdr:grpSpPr>
        <xdr:sp macro="" textlink="">
          <xdr:nvSpPr>
            <xdr:cNvPr id="11" name="Shape 4">
              <a:extLst>
                <a:ext uri="{FF2B5EF4-FFF2-40B4-BE49-F238E27FC236}">
                  <a16:creationId xmlns:a16="http://schemas.microsoft.com/office/drawing/2014/main" id="{00000000-0008-0000-1C00-00000B000000}"/>
                </a:ext>
              </a:extLst>
            </xdr:cNvPr>
            <xdr:cNvSpPr/>
          </xdr:nvSpPr>
          <xdr:spPr>
            <a:xfrm>
              <a:off x="4607813" y="3413288"/>
              <a:ext cx="1476375" cy="733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6" name="Shape 116">
              <a:extLst>
                <a:ext uri="{FF2B5EF4-FFF2-40B4-BE49-F238E27FC236}">
                  <a16:creationId xmlns:a16="http://schemas.microsoft.com/office/drawing/2014/main" id="{00000000-0008-0000-1C00-000074000000}"/>
                </a:ext>
              </a:extLst>
            </xdr:cNvPr>
            <xdr:cNvCxnSpPr/>
          </xdr:nvCxnSpPr>
          <xdr:spPr>
            <a:xfrm>
              <a:off x="4607813" y="3413288"/>
              <a:ext cx="1476375" cy="733425"/>
            </a:xfrm>
            <a:prstGeom prst="straightConnector1">
              <a:avLst/>
            </a:prstGeom>
            <a:noFill/>
            <a:ln w="9525" cap="flat" cmpd="sng">
              <a:solidFill>
                <a:srgbClr val="4A7DBA"/>
              </a:solidFill>
              <a:prstDash val="solid"/>
              <a:round/>
              <a:headEnd type="none" w="sm" len="sm"/>
              <a:tailEnd type="stealth" w="med" len="med"/>
            </a:ln>
          </xdr:spPr>
        </xdr:cxnSp>
      </xdr:grpSp>
    </xdr:grpSp>
    <xdr:clientData fLocksWithSheet="0"/>
  </xdr:oneCellAnchor>
  <xdr:oneCellAnchor>
    <xdr:from>
      <xdr:col>2</xdr:col>
      <xdr:colOff>495300</xdr:colOff>
      <xdr:row>58</xdr:row>
      <xdr:rowOff>0</xdr:rowOff>
    </xdr:from>
    <xdr:ext cx="38100" cy="695325"/>
    <xdr:grpSp>
      <xdr:nvGrpSpPr>
        <xdr:cNvPr id="12" name="Shape 2">
          <a:extLst>
            <a:ext uri="{FF2B5EF4-FFF2-40B4-BE49-F238E27FC236}">
              <a16:creationId xmlns:a16="http://schemas.microsoft.com/office/drawing/2014/main" id="{00000000-0008-0000-1C00-00000C000000}"/>
            </a:ext>
          </a:extLst>
        </xdr:cNvPr>
        <xdr:cNvGrpSpPr/>
      </xdr:nvGrpSpPr>
      <xdr:grpSpPr>
        <a:xfrm>
          <a:off x="2200275" y="11753850"/>
          <a:ext cx="38100" cy="695325"/>
          <a:chOff x="5326950" y="3432338"/>
          <a:chExt cx="38100" cy="695325"/>
        </a:xfrm>
      </xdr:grpSpPr>
      <xdr:grpSp>
        <xdr:nvGrpSpPr>
          <xdr:cNvPr id="117" name="Shape 117">
            <a:extLst>
              <a:ext uri="{FF2B5EF4-FFF2-40B4-BE49-F238E27FC236}">
                <a16:creationId xmlns:a16="http://schemas.microsoft.com/office/drawing/2014/main" id="{00000000-0008-0000-1C00-000075000000}"/>
              </a:ext>
            </a:extLst>
          </xdr:cNvPr>
          <xdr:cNvGrpSpPr/>
        </xdr:nvGrpSpPr>
        <xdr:grpSpPr>
          <a:xfrm>
            <a:off x="5326950" y="3432338"/>
            <a:ext cx="38100" cy="695325"/>
            <a:chOff x="5341238" y="3432338"/>
            <a:chExt cx="9525" cy="695325"/>
          </a:xfrm>
        </xdr:grpSpPr>
        <xdr:sp macro="" textlink="">
          <xdr:nvSpPr>
            <xdr:cNvPr id="13" name="Shape 4">
              <a:extLst>
                <a:ext uri="{FF2B5EF4-FFF2-40B4-BE49-F238E27FC236}">
                  <a16:creationId xmlns:a16="http://schemas.microsoft.com/office/drawing/2014/main" id="{00000000-0008-0000-1C00-00000D000000}"/>
                </a:ext>
              </a:extLst>
            </xdr:cNvPr>
            <xdr:cNvSpPr/>
          </xdr:nvSpPr>
          <xdr:spPr>
            <a:xfrm>
              <a:off x="5341238" y="3432338"/>
              <a:ext cx="9525" cy="695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8" name="Shape 118">
              <a:extLst>
                <a:ext uri="{FF2B5EF4-FFF2-40B4-BE49-F238E27FC236}">
                  <a16:creationId xmlns:a16="http://schemas.microsoft.com/office/drawing/2014/main" id="{00000000-0008-0000-1C00-000076000000}"/>
                </a:ext>
              </a:extLst>
            </xdr:cNvPr>
            <xdr:cNvCxnSpPr/>
          </xdr:nvCxnSpPr>
          <xdr:spPr>
            <a:xfrm flipH="1">
              <a:off x="5341238" y="3432338"/>
              <a:ext cx="9525" cy="695325"/>
            </a:xfrm>
            <a:prstGeom prst="straightConnector1">
              <a:avLst/>
            </a:prstGeom>
            <a:noFill/>
            <a:ln w="9525" cap="flat" cmpd="sng">
              <a:solidFill>
                <a:srgbClr val="4A7DBA"/>
              </a:solidFill>
              <a:prstDash val="solid"/>
              <a:round/>
              <a:headEnd type="none" w="sm" len="sm"/>
              <a:tailEnd type="stealth" w="med" len="med"/>
            </a:ln>
          </xdr:spPr>
        </xdr:cxnSp>
      </xdr:grpSp>
    </xdr:grpSp>
    <xdr:clientData fLocksWithSheet="0"/>
  </xdr:oneCellAnchor>
  <xdr:oneCellAnchor>
    <xdr:from>
      <xdr:col>2</xdr:col>
      <xdr:colOff>504825</xdr:colOff>
      <xdr:row>57</xdr:row>
      <xdr:rowOff>161925</xdr:rowOff>
    </xdr:from>
    <xdr:ext cx="885825" cy="762000"/>
    <xdr:grpSp>
      <xdr:nvGrpSpPr>
        <xdr:cNvPr id="14" name="Shape 2">
          <a:extLst>
            <a:ext uri="{FF2B5EF4-FFF2-40B4-BE49-F238E27FC236}">
              <a16:creationId xmlns:a16="http://schemas.microsoft.com/office/drawing/2014/main" id="{00000000-0008-0000-1C00-00000E000000}"/>
            </a:ext>
          </a:extLst>
        </xdr:cNvPr>
        <xdr:cNvGrpSpPr/>
      </xdr:nvGrpSpPr>
      <xdr:grpSpPr>
        <a:xfrm>
          <a:off x="2209800" y="11715750"/>
          <a:ext cx="885825" cy="762000"/>
          <a:chOff x="4903088" y="3399000"/>
          <a:chExt cx="885825" cy="762000"/>
        </a:xfrm>
      </xdr:grpSpPr>
      <xdr:grpSp>
        <xdr:nvGrpSpPr>
          <xdr:cNvPr id="119" name="Shape 119">
            <a:extLst>
              <a:ext uri="{FF2B5EF4-FFF2-40B4-BE49-F238E27FC236}">
                <a16:creationId xmlns:a16="http://schemas.microsoft.com/office/drawing/2014/main" id="{00000000-0008-0000-1C00-000077000000}"/>
              </a:ext>
            </a:extLst>
          </xdr:cNvPr>
          <xdr:cNvGrpSpPr/>
        </xdr:nvGrpSpPr>
        <xdr:grpSpPr>
          <a:xfrm>
            <a:off x="4903088" y="3399000"/>
            <a:ext cx="885825" cy="762000"/>
            <a:chOff x="4907850" y="3403763"/>
            <a:chExt cx="876300" cy="752475"/>
          </a:xfrm>
        </xdr:grpSpPr>
        <xdr:sp macro="" textlink="">
          <xdr:nvSpPr>
            <xdr:cNvPr id="15" name="Shape 4">
              <a:extLst>
                <a:ext uri="{FF2B5EF4-FFF2-40B4-BE49-F238E27FC236}">
                  <a16:creationId xmlns:a16="http://schemas.microsoft.com/office/drawing/2014/main" id="{00000000-0008-0000-1C00-00000F000000}"/>
                </a:ext>
              </a:extLst>
            </xdr:cNvPr>
            <xdr:cNvSpPr/>
          </xdr:nvSpPr>
          <xdr:spPr>
            <a:xfrm>
              <a:off x="4907850" y="3403763"/>
              <a:ext cx="876300"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0" name="Shape 120">
              <a:extLst>
                <a:ext uri="{FF2B5EF4-FFF2-40B4-BE49-F238E27FC236}">
                  <a16:creationId xmlns:a16="http://schemas.microsoft.com/office/drawing/2014/main" id="{00000000-0008-0000-1C00-000078000000}"/>
                </a:ext>
              </a:extLst>
            </xdr:cNvPr>
            <xdr:cNvCxnSpPr/>
          </xdr:nvCxnSpPr>
          <xdr:spPr>
            <a:xfrm flipH="1">
              <a:off x="4907850" y="3403763"/>
              <a:ext cx="876300" cy="752475"/>
            </a:xfrm>
            <a:prstGeom prst="straightConnector1">
              <a:avLst/>
            </a:prstGeom>
            <a:noFill/>
            <a:ln w="9525" cap="flat" cmpd="sng">
              <a:solidFill>
                <a:srgbClr val="4A7DBA"/>
              </a:solidFill>
              <a:prstDash val="solid"/>
              <a:round/>
              <a:headEnd type="none" w="sm" len="sm"/>
              <a:tailEnd type="stealth" w="med" len="med"/>
            </a:ln>
          </xdr:spPr>
        </xdr:cxnSp>
      </xdr:grpSp>
    </xdr:grpSp>
    <xdr:clientData fLocksWithSheet="0"/>
  </xdr:oneCellAnchor>
  <xdr:oneCellAnchor>
    <xdr:from>
      <xdr:col>12</xdr:col>
      <xdr:colOff>133350</xdr:colOff>
      <xdr:row>0</xdr:row>
      <xdr:rowOff>0</xdr:rowOff>
    </xdr:from>
    <xdr:ext cx="1571625" cy="609600"/>
    <xdr:pic>
      <xdr:nvPicPr>
        <xdr:cNvPr id="16" name="image1.jpg">
          <a:extLst>
            <a:ext uri="{FF2B5EF4-FFF2-40B4-BE49-F238E27FC236}">
              <a16:creationId xmlns:a16="http://schemas.microsoft.com/office/drawing/2014/main" id="{00000000-0008-0000-1C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dr:oneCellAnchor>
    <xdr:from>
      <xdr:col>0</xdr:col>
      <xdr:colOff>819150</xdr:colOff>
      <xdr:row>7</xdr:row>
      <xdr:rowOff>171450</xdr:rowOff>
    </xdr:from>
    <xdr:ext cx="457200" cy="266700"/>
    <xdr:grpSp>
      <xdr:nvGrpSpPr>
        <xdr:cNvPr id="2" name="Shape 2">
          <a:extLst>
            <a:ext uri="{FF2B5EF4-FFF2-40B4-BE49-F238E27FC236}">
              <a16:creationId xmlns:a16="http://schemas.microsoft.com/office/drawing/2014/main" id="{00000000-0008-0000-1D00-000002000000}"/>
            </a:ext>
          </a:extLst>
        </xdr:cNvPr>
        <xdr:cNvGrpSpPr/>
      </xdr:nvGrpSpPr>
      <xdr:grpSpPr>
        <a:xfrm>
          <a:off x="819150" y="1809750"/>
          <a:ext cx="457200" cy="266700"/>
          <a:chOff x="5117400" y="3646650"/>
          <a:chExt cx="457200" cy="266700"/>
        </a:xfrm>
      </xdr:grpSpPr>
      <xdr:grpSp>
        <xdr:nvGrpSpPr>
          <xdr:cNvPr id="121" name="Shape 121">
            <a:extLst>
              <a:ext uri="{FF2B5EF4-FFF2-40B4-BE49-F238E27FC236}">
                <a16:creationId xmlns:a16="http://schemas.microsoft.com/office/drawing/2014/main" id="{00000000-0008-0000-1D00-000079000000}"/>
              </a:ext>
            </a:extLst>
          </xdr:cNvPr>
          <xdr:cNvGrpSpPr/>
        </xdr:nvGrpSpPr>
        <xdr:grpSpPr>
          <a:xfrm>
            <a:off x="5117400" y="3646650"/>
            <a:ext cx="457200" cy="266700"/>
            <a:chOff x="5122163" y="3651413"/>
            <a:chExt cx="447675" cy="257175"/>
          </a:xfrm>
        </xdr:grpSpPr>
        <xdr:sp macro="" textlink="">
          <xdr:nvSpPr>
            <xdr:cNvPr id="4" name="Shape 4">
              <a:extLst>
                <a:ext uri="{FF2B5EF4-FFF2-40B4-BE49-F238E27FC236}">
                  <a16:creationId xmlns:a16="http://schemas.microsoft.com/office/drawing/2014/main" id="{00000000-0008-0000-1D00-000004000000}"/>
                </a:ext>
              </a:extLst>
            </xdr:cNvPr>
            <xdr:cNvSpPr/>
          </xdr:nvSpPr>
          <xdr:spPr>
            <a:xfrm>
              <a:off x="5122163" y="3651413"/>
              <a:ext cx="447675"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2" name="Shape 122">
              <a:extLst>
                <a:ext uri="{FF2B5EF4-FFF2-40B4-BE49-F238E27FC236}">
                  <a16:creationId xmlns:a16="http://schemas.microsoft.com/office/drawing/2014/main" id="{00000000-0008-0000-1D00-00007A000000}"/>
                </a:ext>
              </a:extLst>
            </xdr:cNvPr>
            <xdr:cNvCxnSpPr/>
          </xdr:nvCxnSpPr>
          <xdr:spPr>
            <a:xfrm flipH="1">
              <a:off x="5122163" y="3651413"/>
              <a:ext cx="447675" cy="2571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742950</xdr:colOff>
      <xdr:row>7</xdr:row>
      <xdr:rowOff>180975</xdr:rowOff>
    </xdr:from>
    <xdr:ext cx="1323975" cy="866775"/>
    <xdr:grpSp>
      <xdr:nvGrpSpPr>
        <xdr:cNvPr id="3" name="Shape 2">
          <a:extLst>
            <a:ext uri="{FF2B5EF4-FFF2-40B4-BE49-F238E27FC236}">
              <a16:creationId xmlns:a16="http://schemas.microsoft.com/office/drawing/2014/main" id="{00000000-0008-0000-1D00-000003000000}"/>
            </a:ext>
          </a:extLst>
        </xdr:cNvPr>
        <xdr:cNvGrpSpPr/>
      </xdr:nvGrpSpPr>
      <xdr:grpSpPr>
        <a:xfrm>
          <a:off x="742950" y="1819275"/>
          <a:ext cx="1323975" cy="866775"/>
          <a:chOff x="4684013" y="3346613"/>
          <a:chExt cx="1323975" cy="866775"/>
        </a:xfrm>
      </xdr:grpSpPr>
      <xdr:grpSp>
        <xdr:nvGrpSpPr>
          <xdr:cNvPr id="123" name="Shape 123">
            <a:extLst>
              <a:ext uri="{FF2B5EF4-FFF2-40B4-BE49-F238E27FC236}">
                <a16:creationId xmlns:a16="http://schemas.microsoft.com/office/drawing/2014/main" id="{00000000-0008-0000-1D00-00007B000000}"/>
              </a:ext>
            </a:extLst>
          </xdr:cNvPr>
          <xdr:cNvGrpSpPr/>
        </xdr:nvGrpSpPr>
        <xdr:grpSpPr>
          <a:xfrm>
            <a:off x="4684013" y="3346613"/>
            <a:ext cx="1323975" cy="866775"/>
            <a:chOff x="4688775" y="3351375"/>
            <a:chExt cx="1314450" cy="857250"/>
          </a:xfrm>
        </xdr:grpSpPr>
        <xdr:sp macro="" textlink="">
          <xdr:nvSpPr>
            <xdr:cNvPr id="5" name="Shape 4">
              <a:extLst>
                <a:ext uri="{FF2B5EF4-FFF2-40B4-BE49-F238E27FC236}">
                  <a16:creationId xmlns:a16="http://schemas.microsoft.com/office/drawing/2014/main" id="{00000000-0008-0000-1D00-000005000000}"/>
                </a:ext>
              </a:extLst>
            </xdr:cNvPr>
            <xdr:cNvSpPr/>
          </xdr:nvSpPr>
          <xdr:spPr>
            <a:xfrm>
              <a:off x="4688775" y="3351375"/>
              <a:ext cx="1314450" cy="85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4" name="Shape 124">
              <a:extLst>
                <a:ext uri="{FF2B5EF4-FFF2-40B4-BE49-F238E27FC236}">
                  <a16:creationId xmlns:a16="http://schemas.microsoft.com/office/drawing/2014/main" id="{00000000-0008-0000-1D00-00007C000000}"/>
                </a:ext>
              </a:extLst>
            </xdr:cNvPr>
            <xdr:cNvCxnSpPr/>
          </xdr:nvCxnSpPr>
          <xdr:spPr>
            <a:xfrm flipH="1">
              <a:off x="4688775" y="3351375"/>
              <a:ext cx="1314450" cy="8572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xdr:col>
      <xdr:colOff>76200</xdr:colOff>
      <xdr:row>7</xdr:row>
      <xdr:rowOff>171450</xdr:rowOff>
    </xdr:from>
    <xdr:ext cx="2238375" cy="1600200"/>
    <xdr:grpSp>
      <xdr:nvGrpSpPr>
        <xdr:cNvPr id="6" name="Shape 2">
          <a:extLst>
            <a:ext uri="{FF2B5EF4-FFF2-40B4-BE49-F238E27FC236}">
              <a16:creationId xmlns:a16="http://schemas.microsoft.com/office/drawing/2014/main" id="{00000000-0008-0000-1D00-000006000000}"/>
            </a:ext>
          </a:extLst>
        </xdr:cNvPr>
        <xdr:cNvGrpSpPr/>
      </xdr:nvGrpSpPr>
      <xdr:grpSpPr>
        <a:xfrm>
          <a:off x="933450" y="1809750"/>
          <a:ext cx="2238375" cy="1600200"/>
          <a:chOff x="4226813" y="2979900"/>
          <a:chExt cx="2238375" cy="1600200"/>
        </a:xfrm>
      </xdr:grpSpPr>
      <xdr:grpSp>
        <xdr:nvGrpSpPr>
          <xdr:cNvPr id="125" name="Shape 125">
            <a:extLst>
              <a:ext uri="{FF2B5EF4-FFF2-40B4-BE49-F238E27FC236}">
                <a16:creationId xmlns:a16="http://schemas.microsoft.com/office/drawing/2014/main" id="{00000000-0008-0000-1D00-00007D000000}"/>
              </a:ext>
            </a:extLst>
          </xdr:cNvPr>
          <xdr:cNvGrpSpPr/>
        </xdr:nvGrpSpPr>
        <xdr:grpSpPr>
          <a:xfrm>
            <a:off x="4226813" y="2979900"/>
            <a:ext cx="2238375" cy="1600200"/>
            <a:chOff x="4231575" y="2984663"/>
            <a:chExt cx="2228850" cy="1590675"/>
          </a:xfrm>
        </xdr:grpSpPr>
        <xdr:sp macro="" textlink="">
          <xdr:nvSpPr>
            <xdr:cNvPr id="7" name="Shape 4">
              <a:extLst>
                <a:ext uri="{FF2B5EF4-FFF2-40B4-BE49-F238E27FC236}">
                  <a16:creationId xmlns:a16="http://schemas.microsoft.com/office/drawing/2014/main" id="{00000000-0008-0000-1D00-000007000000}"/>
                </a:ext>
              </a:extLst>
            </xdr:cNvPr>
            <xdr:cNvSpPr/>
          </xdr:nvSpPr>
          <xdr:spPr>
            <a:xfrm>
              <a:off x="4231575" y="2984663"/>
              <a:ext cx="2228850" cy="1590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6" name="Shape 126">
              <a:extLst>
                <a:ext uri="{FF2B5EF4-FFF2-40B4-BE49-F238E27FC236}">
                  <a16:creationId xmlns:a16="http://schemas.microsoft.com/office/drawing/2014/main" id="{00000000-0008-0000-1D00-00007E000000}"/>
                </a:ext>
              </a:extLst>
            </xdr:cNvPr>
            <xdr:cNvCxnSpPr/>
          </xdr:nvCxnSpPr>
          <xdr:spPr>
            <a:xfrm flipH="1">
              <a:off x="4231575" y="2984663"/>
              <a:ext cx="2228850" cy="15906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xdr:col>
      <xdr:colOff>95250</xdr:colOff>
      <xdr:row>8</xdr:row>
      <xdr:rowOff>47625</xdr:rowOff>
    </xdr:from>
    <xdr:ext cx="3343275" cy="2200275"/>
    <xdr:grpSp>
      <xdr:nvGrpSpPr>
        <xdr:cNvPr id="8" name="Shape 2">
          <a:extLst>
            <a:ext uri="{FF2B5EF4-FFF2-40B4-BE49-F238E27FC236}">
              <a16:creationId xmlns:a16="http://schemas.microsoft.com/office/drawing/2014/main" id="{00000000-0008-0000-1D00-000008000000}"/>
            </a:ext>
          </a:extLst>
        </xdr:cNvPr>
        <xdr:cNvGrpSpPr/>
      </xdr:nvGrpSpPr>
      <xdr:grpSpPr>
        <a:xfrm>
          <a:off x="952500" y="1885950"/>
          <a:ext cx="3343275" cy="2200275"/>
          <a:chOff x="3674363" y="2679863"/>
          <a:chExt cx="3343275" cy="2200275"/>
        </a:xfrm>
      </xdr:grpSpPr>
      <xdr:grpSp>
        <xdr:nvGrpSpPr>
          <xdr:cNvPr id="127" name="Shape 127">
            <a:extLst>
              <a:ext uri="{FF2B5EF4-FFF2-40B4-BE49-F238E27FC236}">
                <a16:creationId xmlns:a16="http://schemas.microsoft.com/office/drawing/2014/main" id="{00000000-0008-0000-1D00-00007F000000}"/>
              </a:ext>
            </a:extLst>
          </xdr:cNvPr>
          <xdr:cNvGrpSpPr/>
        </xdr:nvGrpSpPr>
        <xdr:grpSpPr>
          <a:xfrm>
            <a:off x="3674363" y="2679863"/>
            <a:ext cx="3343275" cy="2200275"/>
            <a:chOff x="3679125" y="2684625"/>
            <a:chExt cx="3333750" cy="2190750"/>
          </a:xfrm>
        </xdr:grpSpPr>
        <xdr:sp macro="" textlink="">
          <xdr:nvSpPr>
            <xdr:cNvPr id="9" name="Shape 4">
              <a:extLst>
                <a:ext uri="{FF2B5EF4-FFF2-40B4-BE49-F238E27FC236}">
                  <a16:creationId xmlns:a16="http://schemas.microsoft.com/office/drawing/2014/main" id="{00000000-0008-0000-1D00-000009000000}"/>
                </a:ext>
              </a:extLst>
            </xdr:cNvPr>
            <xdr:cNvSpPr/>
          </xdr:nvSpPr>
          <xdr:spPr>
            <a:xfrm>
              <a:off x="3679125" y="2684625"/>
              <a:ext cx="3333750" cy="2190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8" name="Shape 128">
              <a:extLst>
                <a:ext uri="{FF2B5EF4-FFF2-40B4-BE49-F238E27FC236}">
                  <a16:creationId xmlns:a16="http://schemas.microsoft.com/office/drawing/2014/main" id="{00000000-0008-0000-1D00-000080000000}"/>
                </a:ext>
              </a:extLst>
            </xdr:cNvPr>
            <xdr:cNvCxnSpPr/>
          </xdr:nvCxnSpPr>
          <xdr:spPr>
            <a:xfrm flipH="1">
              <a:off x="3679125" y="2684625"/>
              <a:ext cx="3333750" cy="21907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1D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dr:oneCellAnchor>
    <xdr:from>
      <xdr:col>0</xdr:col>
      <xdr:colOff>342900</xdr:colOff>
      <xdr:row>6</xdr:row>
      <xdr:rowOff>180975</xdr:rowOff>
    </xdr:from>
    <xdr:ext cx="495300" cy="257175"/>
    <xdr:grpSp>
      <xdr:nvGrpSpPr>
        <xdr:cNvPr id="2" name="Shape 2">
          <a:extLst>
            <a:ext uri="{FF2B5EF4-FFF2-40B4-BE49-F238E27FC236}">
              <a16:creationId xmlns:a16="http://schemas.microsoft.com/office/drawing/2014/main" id="{00000000-0008-0000-1E00-000002000000}"/>
            </a:ext>
          </a:extLst>
        </xdr:cNvPr>
        <xdr:cNvGrpSpPr/>
      </xdr:nvGrpSpPr>
      <xdr:grpSpPr>
        <a:xfrm>
          <a:off x="342900" y="1628775"/>
          <a:ext cx="495300" cy="257175"/>
          <a:chOff x="5098350" y="3651413"/>
          <a:chExt cx="495300" cy="257175"/>
        </a:xfrm>
      </xdr:grpSpPr>
      <xdr:grpSp>
        <xdr:nvGrpSpPr>
          <xdr:cNvPr id="129" name="Shape 129">
            <a:extLst>
              <a:ext uri="{FF2B5EF4-FFF2-40B4-BE49-F238E27FC236}">
                <a16:creationId xmlns:a16="http://schemas.microsoft.com/office/drawing/2014/main" id="{00000000-0008-0000-1E00-000081000000}"/>
              </a:ext>
            </a:extLst>
          </xdr:cNvPr>
          <xdr:cNvGrpSpPr/>
        </xdr:nvGrpSpPr>
        <xdr:grpSpPr>
          <a:xfrm>
            <a:off x="5098350" y="3651413"/>
            <a:ext cx="495300" cy="257175"/>
            <a:chOff x="5103113" y="3656175"/>
            <a:chExt cx="485775" cy="247650"/>
          </a:xfrm>
        </xdr:grpSpPr>
        <xdr:sp macro="" textlink="">
          <xdr:nvSpPr>
            <xdr:cNvPr id="4" name="Shape 4">
              <a:extLst>
                <a:ext uri="{FF2B5EF4-FFF2-40B4-BE49-F238E27FC236}">
                  <a16:creationId xmlns:a16="http://schemas.microsoft.com/office/drawing/2014/main" id="{00000000-0008-0000-1E00-000004000000}"/>
                </a:ext>
              </a:extLst>
            </xdr:cNvPr>
            <xdr:cNvSpPr/>
          </xdr:nvSpPr>
          <xdr:spPr>
            <a:xfrm>
              <a:off x="5103113" y="3656175"/>
              <a:ext cx="4857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0" name="Shape 130">
              <a:extLst>
                <a:ext uri="{FF2B5EF4-FFF2-40B4-BE49-F238E27FC236}">
                  <a16:creationId xmlns:a16="http://schemas.microsoft.com/office/drawing/2014/main" id="{00000000-0008-0000-1E00-000082000000}"/>
                </a:ext>
              </a:extLst>
            </xdr:cNvPr>
            <xdr:cNvCxnSpPr/>
          </xdr:nvCxnSpPr>
          <xdr:spPr>
            <a:xfrm flipH="1">
              <a:off x="5103113" y="3656175"/>
              <a:ext cx="48577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1E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dr:oneCellAnchor>
    <xdr:from>
      <xdr:col>0</xdr:col>
      <xdr:colOff>342900</xdr:colOff>
      <xdr:row>6</xdr:row>
      <xdr:rowOff>171450</xdr:rowOff>
    </xdr:from>
    <xdr:ext cx="923925" cy="266700"/>
    <xdr:grpSp>
      <xdr:nvGrpSpPr>
        <xdr:cNvPr id="2" name="Shape 2">
          <a:extLst>
            <a:ext uri="{FF2B5EF4-FFF2-40B4-BE49-F238E27FC236}">
              <a16:creationId xmlns:a16="http://schemas.microsoft.com/office/drawing/2014/main" id="{00000000-0008-0000-1F00-000002000000}"/>
            </a:ext>
          </a:extLst>
        </xdr:cNvPr>
        <xdr:cNvGrpSpPr/>
      </xdr:nvGrpSpPr>
      <xdr:grpSpPr>
        <a:xfrm>
          <a:off x="342900" y="1619250"/>
          <a:ext cx="923925" cy="266700"/>
          <a:chOff x="4884038" y="3646650"/>
          <a:chExt cx="923925" cy="266700"/>
        </a:xfrm>
      </xdr:grpSpPr>
      <xdr:grpSp>
        <xdr:nvGrpSpPr>
          <xdr:cNvPr id="131" name="Shape 131">
            <a:extLst>
              <a:ext uri="{FF2B5EF4-FFF2-40B4-BE49-F238E27FC236}">
                <a16:creationId xmlns:a16="http://schemas.microsoft.com/office/drawing/2014/main" id="{00000000-0008-0000-1F00-000083000000}"/>
              </a:ext>
            </a:extLst>
          </xdr:cNvPr>
          <xdr:cNvGrpSpPr/>
        </xdr:nvGrpSpPr>
        <xdr:grpSpPr>
          <a:xfrm>
            <a:off x="4884038" y="3646650"/>
            <a:ext cx="923925" cy="266700"/>
            <a:chOff x="4888800" y="3651413"/>
            <a:chExt cx="914400" cy="257175"/>
          </a:xfrm>
        </xdr:grpSpPr>
        <xdr:sp macro="" textlink="">
          <xdr:nvSpPr>
            <xdr:cNvPr id="4" name="Shape 4">
              <a:extLst>
                <a:ext uri="{FF2B5EF4-FFF2-40B4-BE49-F238E27FC236}">
                  <a16:creationId xmlns:a16="http://schemas.microsoft.com/office/drawing/2014/main" id="{00000000-0008-0000-1F00-000004000000}"/>
                </a:ext>
              </a:extLst>
            </xdr:cNvPr>
            <xdr:cNvSpPr/>
          </xdr:nvSpPr>
          <xdr:spPr>
            <a:xfrm>
              <a:off x="4888800" y="3651413"/>
              <a:ext cx="914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2" name="Shape 132">
              <a:extLst>
                <a:ext uri="{FF2B5EF4-FFF2-40B4-BE49-F238E27FC236}">
                  <a16:creationId xmlns:a16="http://schemas.microsoft.com/office/drawing/2014/main" id="{00000000-0008-0000-1F00-000084000000}"/>
                </a:ext>
              </a:extLst>
            </xdr:cNvPr>
            <xdr:cNvCxnSpPr/>
          </xdr:nvCxnSpPr>
          <xdr:spPr>
            <a:xfrm flipH="1">
              <a:off x="4888800" y="3651413"/>
              <a:ext cx="914400" cy="2571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390525</xdr:colOff>
      <xdr:row>6</xdr:row>
      <xdr:rowOff>180975</xdr:rowOff>
    </xdr:from>
    <xdr:ext cx="1676400" cy="857250"/>
    <xdr:grpSp>
      <xdr:nvGrpSpPr>
        <xdr:cNvPr id="3" name="Shape 2">
          <a:extLst>
            <a:ext uri="{FF2B5EF4-FFF2-40B4-BE49-F238E27FC236}">
              <a16:creationId xmlns:a16="http://schemas.microsoft.com/office/drawing/2014/main" id="{00000000-0008-0000-1F00-000003000000}"/>
            </a:ext>
          </a:extLst>
        </xdr:cNvPr>
        <xdr:cNvGrpSpPr/>
      </xdr:nvGrpSpPr>
      <xdr:grpSpPr>
        <a:xfrm>
          <a:off x="390525" y="1628775"/>
          <a:ext cx="1676400" cy="857250"/>
          <a:chOff x="4507800" y="3351375"/>
          <a:chExt cx="1676400" cy="857250"/>
        </a:xfrm>
      </xdr:grpSpPr>
      <xdr:grpSp>
        <xdr:nvGrpSpPr>
          <xdr:cNvPr id="133" name="Shape 133">
            <a:extLst>
              <a:ext uri="{FF2B5EF4-FFF2-40B4-BE49-F238E27FC236}">
                <a16:creationId xmlns:a16="http://schemas.microsoft.com/office/drawing/2014/main" id="{00000000-0008-0000-1F00-000085000000}"/>
              </a:ext>
            </a:extLst>
          </xdr:cNvPr>
          <xdr:cNvGrpSpPr/>
        </xdr:nvGrpSpPr>
        <xdr:grpSpPr>
          <a:xfrm>
            <a:off x="4507800" y="3351375"/>
            <a:ext cx="1676400" cy="857250"/>
            <a:chOff x="4512563" y="3356138"/>
            <a:chExt cx="1666875" cy="847725"/>
          </a:xfrm>
        </xdr:grpSpPr>
        <xdr:sp macro="" textlink="">
          <xdr:nvSpPr>
            <xdr:cNvPr id="5" name="Shape 4">
              <a:extLst>
                <a:ext uri="{FF2B5EF4-FFF2-40B4-BE49-F238E27FC236}">
                  <a16:creationId xmlns:a16="http://schemas.microsoft.com/office/drawing/2014/main" id="{00000000-0008-0000-1F00-000005000000}"/>
                </a:ext>
              </a:extLst>
            </xdr:cNvPr>
            <xdr:cNvSpPr/>
          </xdr:nvSpPr>
          <xdr:spPr>
            <a:xfrm>
              <a:off x="4512563" y="3356138"/>
              <a:ext cx="1666875" cy="847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4" name="Shape 134">
              <a:extLst>
                <a:ext uri="{FF2B5EF4-FFF2-40B4-BE49-F238E27FC236}">
                  <a16:creationId xmlns:a16="http://schemas.microsoft.com/office/drawing/2014/main" id="{00000000-0008-0000-1F00-000086000000}"/>
                </a:ext>
              </a:extLst>
            </xdr:cNvPr>
            <xdr:cNvCxnSpPr/>
          </xdr:nvCxnSpPr>
          <xdr:spPr>
            <a:xfrm flipH="1">
              <a:off x="4512563" y="3356138"/>
              <a:ext cx="1666875" cy="8477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752475</xdr:colOff>
      <xdr:row>6</xdr:row>
      <xdr:rowOff>171450</xdr:rowOff>
    </xdr:from>
    <xdr:ext cx="2428875" cy="1438275"/>
    <xdr:grpSp>
      <xdr:nvGrpSpPr>
        <xdr:cNvPr id="6" name="Shape 2">
          <a:extLst>
            <a:ext uri="{FF2B5EF4-FFF2-40B4-BE49-F238E27FC236}">
              <a16:creationId xmlns:a16="http://schemas.microsoft.com/office/drawing/2014/main" id="{00000000-0008-0000-1F00-000006000000}"/>
            </a:ext>
          </a:extLst>
        </xdr:cNvPr>
        <xdr:cNvGrpSpPr/>
      </xdr:nvGrpSpPr>
      <xdr:grpSpPr>
        <a:xfrm>
          <a:off x="752475" y="1619250"/>
          <a:ext cx="2428875" cy="1438275"/>
          <a:chOff x="4131563" y="3060863"/>
          <a:chExt cx="2428875" cy="1438275"/>
        </a:xfrm>
      </xdr:grpSpPr>
      <xdr:grpSp>
        <xdr:nvGrpSpPr>
          <xdr:cNvPr id="135" name="Shape 135">
            <a:extLst>
              <a:ext uri="{FF2B5EF4-FFF2-40B4-BE49-F238E27FC236}">
                <a16:creationId xmlns:a16="http://schemas.microsoft.com/office/drawing/2014/main" id="{00000000-0008-0000-1F00-000087000000}"/>
              </a:ext>
            </a:extLst>
          </xdr:cNvPr>
          <xdr:cNvGrpSpPr/>
        </xdr:nvGrpSpPr>
        <xdr:grpSpPr>
          <a:xfrm>
            <a:off x="4131563" y="3060863"/>
            <a:ext cx="2428875" cy="1438275"/>
            <a:chOff x="4136325" y="3065625"/>
            <a:chExt cx="2419350" cy="1428750"/>
          </a:xfrm>
        </xdr:grpSpPr>
        <xdr:sp macro="" textlink="">
          <xdr:nvSpPr>
            <xdr:cNvPr id="7" name="Shape 4">
              <a:extLst>
                <a:ext uri="{FF2B5EF4-FFF2-40B4-BE49-F238E27FC236}">
                  <a16:creationId xmlns:a16="http://schemas.microsoft.com/office/drawing/2014/main" id="{00000000-0008-0000-1F00-000007000000}"/>
                </a:ext>
              </a:extLst>
            </xdr:cNvPr>
            <xdr:cNvSpPr/>
          </xdr:nvSpPr>
          <xdr:spPr>
            <a:xfrm>
              <a:off x="4136325" y="3065625"/>
              <a:ext cx="2419350" cy="1428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6" name="Shape 136">
              <a:extLst>
                <a:ext uri="{FF2B5EF4-FFF2-40B4-BE49-F238E27FC236}">
                  <a16:creationId xmlns:a16="http://schemas.microsoft.com/office/drawing/2014/main" id="{00000000-0008-0000-1F00-000088000000}"/>
                </a:ext>
              </a:extLst>
            </xdr:cNvPr>
            <xdr:cNvCxnSpPr/>
          </xdr:nvCxnSpPr>
          <xdr:spPr>
            <a:xfrm flipH="1">
              <a:off x="4136325" y="3065625"/>
              <a:ext cx="2419350" cy="14287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723900</xdr:colOff>
      <xdr:row>54</xdr:row>
      <xdr:rowOff>142875</xdr:rowOff>
    </xdr:from>
    <xdr:ext cx="1485900" cy="742950"/>
    <xdr:grpSp>
      <xdr:nvGrpSpPr>
        <xdr:cNvPr id="8" name="Shape 2">
          <a:extLst>
            <a:ext uri="{FF2B5EF4-FFF2-40B4-BE49-F238E27FC236}">
              <a16:creationId xmlns:a16="http://schemas.microsoft.com/office/drawing/2014/main" id="{00000000-0008-0000-1F00-000008000000}"/>
            </a:ext>
          </a:extLst>
        </xdr:cNvPr>
        <xdr:cNvGrpSpPr/>
      </xdr:nvGrpSpPr>
      <xdr:grpSpPr>
        <a:xfrm>
          <a:off x="723900" y="11096625"/>
          <a:ext cx="1485900" cy="742950"/>
          <a:chOff x="4603050" y="3408525"/>
          <a:chExt cx="1485900" cy="742950"/>
        </a:xfrm>
      </xdr:grpSpPr>
      <xdr:grpSp>
        <xdr:nvGrpSpPr>
          <xdr:cNvPr id="137" name="Shape 137">
            <a:extLst>
              <a:ext uri="{FF2B5EF4-FFF2-40B4-BE49-F238E27FC236}">
                <a16:creationId xmlns:a16="http://schemas.microsoft.com/office/drawing/2014/main" id="{00000000-0008-0000-1F00-000089000000}"/>
              </a:ext>
            </a:extLst>
          </xdr:cNvPr>
          <xdr:cNvGrpSpPr/>
        </xdr:nvGrpSpPr>
        <xdr:grpSpPr>
          <a:xfrm>
            <a:off x="4603050" y="3408525"/>
            <a:ext cx="1485900" cy="742950"/>
            <a:chOff x="4607813" y="3413288"/>
            <a:chExt cx="1476375" cy="733425"/>
          </a:xfrm>
        </xdr:grpSpPr>
        <xdr:sp macro="" textlink="">
          <xdr:nvSpPr>
            <xdr:cNvPr id="9" name="Shape 4">
              <a:extLst>
                <a:ext uri="{FF2B5EF4-FFF2-40B4-BE49-F238E27FC236}">
                  <a16:creationId xmlns:a16="http://schemas.microsoft.com/office/drawing/2014/main" id="{00000000-0008-0000-1F00-000009000000}"/>
                </a:ext>
              </a:extLst>
            </xdr:cNvPr>
            <xdr:cNvSpPr/>
          </xdr:nvSpPr>
          <xdr:spPr>
            <a:xfrm>
              <a:off x="4607813" y="3413288"/>
              <a:ext cx="1476375" cy="733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8" name="Shape 138">
              <a:extLst>
                <a:ext uri="{FF2B5EF4-FFF2-40B4-BE49-F238E27FC236}">
                  <a16:creationId xmlns:a16="http://schemas.microsoft.com/office/drawing/2014/main" id="{00000000-0008-0000-1F00-00008A000000}"/>
                </a:ext>
              </a:extLst>
            </xdr:cNvPr>
            <xdr:cNvCxnSpPr/>
          </xdr:nvCxnSpPr>
          <xdr:spPr>
            <a:xfrm>
              <a:off x="4607813" y="3413288"/>
              <a:ext cx="1476375" cy="733425"/>
            </a:xfrm>
            <a:prstGeom prst="straightConnector1">
              <a:avLst/>
            </a:prstGeom>
            <a:noFill/>
            <a:ln w="9525" cap="flat" cmpd="sng">
              <a:solidFill>
                <a:srgbClr val="4A7DBA"/>
              </a:solidFill>
              <a:prstDash val="solid"/>
              <a:round/>
              <a:headEnd type="none" w="sm" len="sm"/>
              <a:tailEnd type="stealth" w="med" len="med"/>
            </a:ln>
          </xdr:spPr>
        </xdr:cxnSp>
      </xdr:grpSp>
    </xdr:grpSp>
    <xdr:clientData fLocksWithSheet="0"/>
  </xdr:oneCellAnchor>
  <xdr:oneCellAnchor>
    <xdr:from>
      <xdr:col>2</xdr:col>
      <xdr:colOff>495300</xdr:colOff>
      <xdr:row>55</xdr:row>
      <xdr:rowOff>0</xdr:rowOff>
    </xdr:from>
    <xdr:ext cx="38100" cy="695325"/>
    <xdr:grpSp>
      <xdr:nvGrpSpPr>
        <xdr:cNvPr id="10" name="Shape 2">
          <a:extLst>
            <a:ext uri="{FF2B5EF4-FFF2-40B4-BE49-F238E27FC236}">
              <a16:creationId xmlns:a16="http://schemas.microsoft.com/office/drawing/2014/main" id="{00000000-0008-0000-1F00-00000A000000}"/>
            </a:ext>
          </a:extLst>
        </xdr:cNvPr>
        <xdr:cNvGrpSpPr/>
      </xdr:nvGrpSpPr>
      <xdr:grpSpPr>
        <a:xfrm>
          <a:off x="2200275" y="11153775"/>
          <a:ext cx="38100" cy="695325"/>
          <a:chOff x="5326950" y="3432338"/>
          <a:chExt cx="38100" cy="695325"/>
        </a:xfrm>
      </xdr:grpSpPr>
      <xdr:grpSp>
        <xdr:nvGrpSpPr>
          <xdr:cNvPr id="139" name="Shape 139">
            <a:extLst>
              <a:ext uri="{FF2B5EF4-FFF2-40B4-BE49-F238E27FC236}">
                <a16:creationId xmlns:a16="http://schemas.microsoft.com/office/drawing/2014/main" id="{00000000-0008-0000-1F00-00008B000000}"/>
              </a:ext>
            </a:extLst>
          </xdr:cNvPr>
          <xdr:cNvGrpSpPr/>
        </xdr:nvGrpSpPr>
        <xdr:grpSpPr>
          <a:xfrm>
            <a:off x="5326950" y="3432338"/>
            <a:ext cx="38100" cy="695325"/>
            <a:chOff x="5341238" y="3432338"/>
            <a:chExt cx="9525" cy="695325"/>
          </a:xfrm>
        </xdr:grpSpPr>
        <xdr:sp macro="" textlink="">
          <xdr:nvSpPr>
            <xdr:cNvPr id="11" name="Shape 4">
              <a:extLst>
                <a:ext uri="{FF2B5EF4-FFF2-40B4-BE49-F238E27FC236}">
                  <a16:creationId xmlns:a16="http://schemas.microsoft.com/office/drawing/2014/main" id="{00000000-0008-0000-1F00-00000B000000}"/>
                </a:ext>
              </a:extLst>
            </xdr:cNvPr>
            <xdr:cNvSpPr/>
          </xdr:nvSpPr>
          <xdr:spPr>
            <a:xfrm>
              <a:off x="5341238" y="3432338"/>
              <a:ext cx="9525" cy="695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0" name="Shape 140">
              <a:extLst>
                <a:ext uri="{FF2B5EF4-FFF2-40B4-BE49-F238E27FC236}">
                  <a16:creationId xmlns:a16="http://schemas.microsoft.com/office/drawing/2014/main" id="{00000000-0008-0000-1F00-00008C000000}"/>
                </a:ext>
              </a:extLst>
            </xdr:cNvPr>
            <xdr:cNvCxnSpPr/>
          </xdr:nvCxnSpPr>
          <xdr:spPr>
            <a:xfrm flipH="1">
              <a:off x="5341238" y="3432338"/>
              <a:ext cx="9525" cy="695325"/>
            </a:xfrm>
            <a:prstGeom prst="straightConnector1">
              <a:avLst/>
            </a:prstGeom>
            <a:noFill/>
            <a:ln w="9525" cap="flat" cmpd="sng">
              <a:solidFill>
                <a:srgbClr val="4A7DBA"/>
              </a:solidFill>
              <a:prstDash val="solid"/>
              <a:round/>
              <a:headEnd type="none" w="sm" len="sm"/>
              <a:tailEnd type="stealth" w="med" len="med"/>
            </a:ln>
          </xdr:spPr>
        </xdr:cxnSp>
      </xdr:grpSp>
    </xdr:grpSp>
    <xdr:clientData fLocksWithSheet="0"/>
  </xdr:oneCellAnchor>
  <xdr:oneCellAnchor>
    <xdr:from>
      <xdr:col>2</xdr:col>
      <xdr:colOff>504825</xdr:colOff>
      <xdr:row>54</xdr:row>
      <xdr:rowOff>161925</xdr:rowOff>
    </xdr:from>
    <xdr:ext cx="885825" cy="762000"/>
    <xdr:grpSp>
      <xdr:nvGrpSpPr>
        <xdr:cNvPr id="12" name="Shape 2">
          <a:extLst>
            <a:ext uri="{FF2B5EF4-FFF2-40B4-BE49-F238E27FC236}">
              <a16:creationId xmlns:a16="http://schemas.microsoft.com/office/drawing/2014/main" id="{00000000-0008-0000-1F00-00000C000000}"/>
            </a:ext>
          </a:extLst>
        </xdr:cNvPr>
        <xdr:cNvGrpSpPr/>
      </xdr:nvGrpSpPr>
      <xdr:grpSpPr>
        <a:xfrm>
          <a:off x="2209800" y="11115675"/>
          <a:ext cx="885825" cy="762000"/>
          <a:chOff x="4903088" y="3399000"/>
          <a:chExt cx="885825" cy="762000"/>
        </a:xfrm>
      </xdr:grpSpPr>
      <xdr:grpSp>
        <xdr:nvGrpSpPr>
          <xdr:cNvPr id="141" name="Shape 141">
            <a:extLst>
              <a:ext uri="{FF2B5EF4-FFF2-40B4-BE49-F238E27FC236}">
                <a16:creationId xmlns:a16="http://schemas.microsoft.com/office/drawing/2014/main" id="{00000000-0008-0000-1F00-00008D000000}"/>
              </a:ext>
            </a:extLst>
          </xdr:cNvPr>
          <xdr:cNvGrpSpPr/>
        </xdr:nvGrpSpPr>
        <xdr:grpSpPr>
          <a:xfrm>
            <a:off x="4903088" y="3399000"/>
            <a:ext cx="885825" cy="762000"/>
            <a:chOff x="4907850" y="3403763"/>
            <a:chExt cx="876300" cy="752475"/>
          </a:xfrm>
        </xdr:grpSpPr>
        <xdr:sp macro="" textlink="">
          <xdr:nvSpPr>
            <xdr:cNvPr id="13" name="Shape 4">
              <a:extLst>
                <a:ext uri="{FF2B5EF4-FFF2-40B4-BE49-F238E27FC236}">
                  <a16:creationId xmlns:a16="http://schemas.microsoft.com/office/drawing/2014/main" id="{00000000-0008-0000-1F00-00000D000000}"/>
                </a:ext>
              </a:extLst>
            </xdr:cNvPr>
            <xdr:cNvSpPr/>
          </xdr:nvSpPr>
          <xdr:spPr>
            <a:xfrm>
              <a:off x="4907850" y="3403763"/>
              <a:ext cx="876300"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2" name="Shape 142">
              <a:extLst>
                <a:ext uri="{FF2B5EF4-FFF2-40B4-BE49-F238E27FC236}">
                  <a16:creationId xmlns:a16="http://schemas.microsoft.com/office/drawing/2014/main" id="{00000000-0008-0000-1F00-00008E000000}"/>
                </a:ext>
              </a:extLst>
            </xdr:cNvPr>
            <xdr:cNvCxnSpPr/>
          </xdr:nvCxnSpPr>
          <xdr:spPr>
            <a:xfrm flipH="1">
              <a:off x="4907850" y="3403763"/>
              <a:ext cx="876300" cy="752475"/>
            </a:xfrm>
            <a:prstGeom prst="straightConnector1">
              <a:avLst/>
            </a:prstGeom>
            <a:noFill/>
            <a:ln w="9525" cap="flat" cmpd="sng">
              <a:solidFill>
                <a:srgbClr val="4A7DBA"/>
              </a:solidFill>
              <a:prstDash val="solid"/>
              <a:round/>
              <a:headEnd type="none" w="sm" len="sm"/>
              <a:tailEnd type="stealth" w="med" len="med"/>
            </a:ln>
          </xdr:spPr>
        </xdr:cxnSp>
      </xdr:grpSp>
    </xdr:grpSp>
    <xdr:clientData fLocksWithSheet="0"/>
  </xdr:oneCellAnchor>
  <xdr:oneCellAnchor>
    <xdr:from>
      <xdr:col>12</xdr:col>
      <xdr:colOff>133350</xdr:colOff>
      <xdr:row>0</xdr:row>
      <xdr:rowOff>0</xdr:rowOff>
    </xdr:from>
    <xdr:ext cx="1571625" cy="609600"/>
    <xdr:pic>
      <xdr:nvPicPr>
        <xdr:cNvPr id="14" name="image1.jpg">
          <a:extLst>
            <a:ext uri="{FF2B5EF4-FFF2-40B4-BE49-F238E27FC236}">
              <a16:creationId xmlns:a16="http://schemas.microsoft.com/office/drawing/2014/main" id="{00000000-0008-0000-1F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2000-000002000000}"/>
            </a:ext>
          </a:extLst>
        </xdr:cNvPr>
        <xdr:cNvGrpSpPr/>
      </xdr:nvGrpSpPr>
      <xdr:grpSpPr>
        <a:xfrm>
          <a:off x="342900" y="1628775"/>
          <a:ext cx="238125" cy="257175"/>
          <a:chOff x="5226938" y="3651413"/>
          <a:chExt cx="238125" cy="257175"/>
        </a:xfrm>
      </xdr:grpSpPr>
      <xdr:grpSp>
        <xdr:nvGrpSpPr>
          <xdr:cNvPr id="143" name="Shape 143">
            <a:extLst>
              <a:ext uri="{FF2B5EF4-FFF2-40B4-BE49-F238E27FC236}">
                <a16:creationId xmlns:a16="http://schemas.microsoft.com/office/drawing/2014/main" id="{00000000-0008-0000-2000-00008F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20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4" name="Shape 144">
              <a:extLst>
                <a:ext uri="{FF2B5EF4-FFF2-40B4-BE49-F238E27FC236}">
                  <a16:creationId xmlns:a16="http://schemas.microsoft.com/office/drawing/2014/main" id="{00000000-0008-0000-2000-000090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571500</xdr:colOff>
      <xdr:row>7</xdr:row>
      <xdr:rowOff>0</xdr:rowOff>
    </xdr:from>
    <xdr:ext cx="895350" cy="866775"/>
    <xdr:grpSp>
      <xdr:nvGrpSpPr>
        <xdr:cNvPr id="3" name="Shape 2">
          <a:extLst>
            <a:ext uri="{FF2B5EF4-FFF2-40B4-BE49-F238E27FC236}">
              <a16:creationId xmlns:a16="http://schemas.microsoft.com/office/drawing/2014/main" id="{00000000-0008-0000-2000-000003000000}"/>
            </a:ext>
          </a:extLst>
        </xdr:cNvPr>
        <xdr:cNvGrpSpPr/>
      </xdr:nvGrpSpPr>
      <xdr:grpSpPr>
        <a:xfrm>
          <a:off x="571500" y="1647825"/>
          <a:ext cx="895350" cy="866775"/>
          <a:chOff x="4898325" y="3346613"/>
          <a:chExt cx="895350" cy="866775"/>
        </a:xfrm>
      </xdr:grpSpPr>
      <xdr:grpSp>
        <xdr:nvGrpSpPr>
          <xdr:cNvPr id="145" name="Shape 145">
            <a:extLst>
              <a:ext uri="{FF2B5EF4-FFF2-40B4-BE49-F238E27FC236}">
                <a16:creationId xmlns:a16="http://schemas.microsoft.com/office/drawing/2014/main" id="{00000000-0008-0000-2000-000091000000}"/>
              </a:ext>
            </a:extLst>
          </xdr:cNvPr>
          <xdr:cNvGrpSpPr/>
        </xdr:nvGrpSpPr>
        <xdr:grpSpPr>
          <a:xfrm>
            <a:off x="4898325" y="3346613"/>
            <a:ext cx="895350" cy="866775"/>
            <a:chOff x="4903088" y="3351375"/>
            <a:chExt cx="885825" cy="857250"/>
          </a:xfrm>
        </xdr:grpSpPr>
        <xdr:sp macro="" textlink="">
          <xdr:nvSpPr>
            <xdr:cNvPr id="5" name="Shape 4">
              <a:extLst>
                <a:ext uri="{FF2B5EF4-FFF2-40B4-BE49-F238E27FC236}">
                  <a16:creationId xmlns:a16="http://schemas.microsoft.com/office/drawing/2014/main" id="{00000000-0008-0000-2000-000005000000}"/>
                </a:ext>
              </a:extLst>
            </xdr:cNvPr>
            <xdr:cNvSpPr/>
          </xdr:nvSpPr>
          <xdr:spPr>
            <a:xfrm>
              <a:off x="4903088" y="3351375"/>
              <a:ext cx="885825" cy="85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6" name="Shape 146">
              <a:extLst>
                <a:ext uri="{FF2B5EF4-FFF2-40B4-BE49-F238E27FC236}">
                  <a16:creationId xmlns:a16="http://schemas.microsoft.com/office/drawing/2014/main" id="{00000000-0008-0000-2000-000092000000}"/>
                </a:ext>
              </a:extLst>
            </xdr:cNvPr>
            <xdr:cNvCxnSpPr/>
          </xdr:nvCxnSpPr>
          <xdr:spPr>
            <a:xfrm flipH="1">
              <a:off x="4903088" y="3351375"/>
              <a:ext cx="885825" cy="8572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6" name="image1.jpg">
          <a:extLst>
            <a:ext uri="{FF2B5EF4-FFF2-40B4-BE49-F238E27FC236}">
              <a16:creationId xmlns:a16="http://schemas.microsoft.com/office/drawing/2014/main" id="{00000000-0008-0000-2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dr:oneCellAnchor>
    <xdr:from>
      <xdr:col>0</xdr:col>
      <xdr:colOff>342900</xdr:colOff>
      <xdr:row>7</xdr:row>
      <xdr:rowOff>9525</xdr:rowOff>
    </xdr:from>
    <xdr:ext cx="342900" cy="219075"/>
    <xdr:grpSp>
      <xdr:nvGrpSpPr>
        <xdr:cNvPr id="2" name="Shape 2">
          <a:extLst>
            <a:ext uri="{FF2B5EF4-FFF2-40B4-BE49-F238E27FC236}">
              <a16:creationId xmlns:a16="http://schemas.microsoft.com/office/drawing/2014/main" id="{00000000-0008-0000-2100-000002000000}"/>
            </a:ext>
          </a:extLst>
        </xdr:cNvPr>
        <xdr:cNvGrpSpPr/>
      </xdr:nvGrpSpPr>
      <xdr:grpSpPr>
        <a:xfrm>
          <a:off x="342900" y="1657350"/>
          <a:ext cx="342900" cy="219075"/>
          <a:chOff x="5174550" y="3670463"/>
          <a:chExt cx="342900" cy="219075"/>
        </a:xfrm>
      </xdr:grpSpPr>
      <xdr:grpSp>
        <xdr:nvGrpSpPr>
          <xdr:cNvPr id="147" name="Shape 147">
            <a:extLst>
              <a:ext uri="{FF2B5EF4-FFF2-40B4-BE49-F238E27FC236}">
                <a16:creationId xmlns:a16="http://schemas.microsoft.com/office/drawing/2014/main" id="{00000000-0008-0000-2100-000093000000}"/>
              </a:ext>
            </a:extLst>
          </xdr:cNvPr>
          <xdr:cNvGrpSpPr/>
        </xdr:nvGrpSpPr>
        <xdr:grpSpPr>
          <a:xfrm>
            <a:off x="5174550" y="3670463"/>
            <a:ext cx="342900" cy="219075"/>
            <a:chOff x="5179313" y="3675225"/>
            <a:chExt cx="333375" cy="209550"/>
          </a:xfrm>
        </xdr:grpSpPr>
        <xdr:sp macro="" textlink="">
          <xdr:nvSpPr>
            <xdr:cNvPr id="4" name="Shape 4">
              <a:extLst>
                <a:ext uri="{FF2B5EF4-FFF2-40B4-BE49-F238E27FC236}">
                  <a16:creationId xmlns:a16="http://schemas.microsoft.com/office/drawing/2014/main" id="{00000000-0008-0000-2100-000004000000}"/>
                </a:ext>
              </a:extLst>
            </xdr:cNvPr>
            <xdr:cNvSpPr/>
          </xdr:nvSpPr>
          <xdr:spPr>
            <a:xfrm>
              <a:off x="5179313" y="3675225"/>
              <a:ext cx="333375"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8" name="Shape 148">
              <a:extLst>
                <a:ext uri="{FF2B5EF4-FFF2-40B4-BE49-F238E27FC236}">
                  <a16:creationId xmlns:a16="http://schemas.microsoft.com/office/drawing/2014/main" id="{00000000-0008-0000-2100-000094000000}"/>
                </a:ext>
              </a:extLst>
            </xdr:cNvPr>
            <xdr:cNvCxnSpPr/>
          </xdr:nvCxnSpPr>
          <xdr:spPr>
            <a:xfrm flipH="1">
              <a:off x="5179313" y="3675225"/>
              <a:ext cx="333375"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571500</xdr:colOff>
      <xdr:row>7</xdr:row>
      <xdr:rowOff>0</xdr:rowOff>
    </xdr:from>
    <xdr:ext cx="895350" cy="866775"/>
    <xdr:grpSp>
      <xdr:nvGrpSpPr>
        <xdr:cNvPr id="3" name="Shape 2">
          <a:extLst>
            <a:ext uri="{FF2B5EF4-FFF2-40B4-BE49-F238E27FC236}">
              <a16:creationId xmlns:a16="http://schemas.microsoft.com/office/drawing/2014/main" id="{00000000-0008-0000-2100-000003000000}"/>
            </a:ext>
          </a:extLst>
        </xdr:cNvPr>
        <xdr:cNvGrpSpPr/>
      </xdr:nvGrpSpPr>
      <xdr:grpSpPr>
        <a:xfrm>
          <a:off x="571500" y="1647825"/>
          <a:ext cx="895350" cy="866775"/>
          <a:chOff x="4898325" y="3346613"/>
          <a:chExt cx="895350" cy="866775"/>
        </a:xfrm>
      </xdr:grpSpPr>
      <xdr:grpSp>
        <xdr:nvGrpSpPr>
          <xdr:cNvPr id="149" name="Shape 149">
            <a:extLst>
              <a:ext uri="{FF2B5EF4-FFF2-40B4-BE49-F238E27FC236}">
                <a16:creationId xmlns:a16="http://schemas.microsoft.com/office/drawing/2014/main" id="{00000000-0008-0000-2100-000095000000}"/>
              </a:ext>
            </a:extLst>
          </xdr:cNvPr>
          <xdr:cNvGrpSpPr/>
        </xdr:nvGrpSpPr>
        <xdr:grpSpPr>
          <a:xfrm>
            <a:off x="4898325" y="3346613"/>
            <a:ext cx="895350" cy="866775"/>
            <a:chOff x="4903088" y="3351375"/>
            <a:chExt cx="885825" cy="857250"/>
          </a:xfrm>
        </xdr:grpSpPr>
        <xdr:sp macro="" textlink="">
          <xdr:nvSpPr>
            <xdr:cNvPr id="5" name="Shape 4">
              <a:extLst>
                <a:ext uri="{FF2B5EF4-FFF2-40B4-BE49-F238E27FC236}">
                  <a16:creationId xmlns:a16="http://schemas.microsoft.com/office/drawing/2014/main" id="{00000000-0008-0000-2100-000005000000}"/>
                </a:ext>
              </a:extLst>
            </xdr:cNvPr>
            <xdr:cNvSpPr/>
          </xdr:nvSpPr>
          <xdr:spPr>
            <a:xfrm>
              <a:off x="4903088" y="3351375"/>
              <a:ext cx="885825" cy="85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0" name="Shape 150">
              <a:extLst>
                <a:ext uri="{FF2B5EF4-FFF2-40B4-BE49-F238E27FC236}">
                  <a16:creationId xmlns:a16="http://schemas.microsoft.com/office/drawing/2014/main" id="{00000000-0008-0000-2100-000096000000}"/>
                </a:ext>
              </a:extLst>
            </xdr:cNvPr>
            <xdr:cNvCxnSpPr/>
          </xdr:nvCxnSpPr>
          <xdr:spPr>
            <a:xfrm flipH="1">
              <a:off x="4903088" y="3351375"/>
              <a:ext cx="885825" cy="8572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552450</xdr:colOff>
      <xdr:row>7</xdr:row>
      <xdr:rowOff>19050</xdr:rowOff>
    </xdr:from>
    <xdr:ext cx="1390650" cy="1362075"/>
    <xdr:grpSp>
      <xdr:nvGrpSpPr>
        <xdr:cNvPr id="6" name="Shape 2">
          <a:extLst>
            <a:ext uri="{FF2B5EF4-FFF2-40B4-BE49-F238E27FC236}">
              <a16:creationId xmlns:a16="http://schemas.microsoft.com/office/drawing/2014/main" id="{00000000-0008-0000-2100-000006000000}"/>
            </a:ext>
          </a:extLst>
        </xdr:cNvPr>
        <xdr:cNvGrpSpPr/>
      </xdr:nvGrpSpPr>
      <xdr:grpSpPr>
        <a:xfrm>
          <a:off x="552450" y="1666875"/>
          <a:ext cx="1390650" cy="1362075"/>
          <a:chOff x="4650675" y="3098963"/>
          <a:chExt cx="1390650" cy="1362075"/>
        </a:xfrm>
      </xdr:grpSpPr>
      <xdr:grpSp>
        <xdr:nvGrpSpPr>
          <xdr:cNvPr id="151" name="Shape 151">
            <a:extLst>
              <a:ext uri="{FF2B5EF4-FFF2-40B4-BE49-F238E27FC236}">
                <a16:creationId xmlns:a16="http://schemas.microsoft.com/office/drawing/2014/main" id="{00000000-0008-0000-2100-000097000000}"/>
              </a:ext>
            </a:extLst>
          </xdr:cNvPr>
          <xdr:cNvGrpSpPr/>
        </xdr:nvGrpSpPr>
        <xdr:grpSpPr>
          <a:xfrm>
            <a:off x="4650675" y="3098963"/>
            <a:ext cx="1390650" cy="1362075"/>
            <a:chOff x="4655438" y="3103725"/>
            <a:chExt cx="1381125" cy="1352550"/>
          </a:xfrm>
        </xdr:grpSpPr>
        <xdr:sp macro="" textlink="">
          <xdr:nvSpPr>
            <xdr:cNvPr id="7" name="Shape 4">
              <a:extLst>
                <a:ext uri="{FF2B5EF4-FFF2-40B4-BE49-F238E27FC236}">
                  <a16:creationId xmlns:a16="http://schemas.microsoft.com/office/drawing/2014/main" id="{00000000-0008-0000-2100-000007000000}"/>
                </a:ext>
              </a:extLst>
            </xdr:cNvPr>
            <xdr:cNvSpPr/>
          </xdr:nvSpPr>
          <xdr:spPr>
            <a:xfrm>
              <a:off x="4655438" y="3103725"/>
              <a:ext cx="138112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2" name="Shape 152">
              <a:extLst>
                <a:ext uri="{FF2B5EF4-FFF2-40B4-BE49-F238E27FC236}">
                  <a16:creationId xmlns:a16="http://schemas.microsoft.com/office/drawing/2014/main" id="{00000000-0008-0000-2100-000098000000}"/>
                </a:ext>
              </a:extLst>
            </xdr:cNvPr>
            <xdr:cNvCxnSpPr/>
          </xdr:nvCxnSpPr>
          <xdr:spPr>
            <a:xfrm flipH="1">
              <a:off x="4655438" y="3103725"/>
              <a:ext cx="1381125" cy="1352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8" name="image1.jpg">
          <a:extLst>
            <a:ext uri="{FF2B5EF4-FFF2-40B4-BE49-F238E27FC236}">
              <a16:creationId xmlns:a16="http://schemas.microsoft.com/office/drawing/2014/main" id="{00000000-0008-0000-21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dr:oneCellAnchor>
    <xdr:from>
      <xdr:col>0</xdr:col>
      <xdr:colOff>342900</xdr:colOff>
      <xdr:row>6</xdr:row>
      <xdr:rowOff>171450</xdr:rowOff>
    </xdr:from>
    <xdr:ext cx="923925" cy="266700"/>
    <xdr:grpSp>
      <xdr:nvGrpSpPr>
        <xdr:cNvPr id="2" name="Shape 2">
          <a:extLst>
            <a:ext uri="{FF2B5EF4-FFF2-40B4-BE49-F238E27FC236}">
              <a16:creationId xmlns:a16="http://schemas.microsoft.com/office/drawing/2014/main" id="{00000000-0008-0000-2200-000002000000}"/>
            </a:ext>
          </a:extLst>
        </xdr:cNvPr>
        <xdr:cNvGrpSpPr/>
      </xdr:nvGrpSpPr>
      <xdr:grpSpPr>
        <a:xfrm>
          <a:off x="342900" y="1619250"/>
          <a:ext cx="923925" cy="266700"/>
          <a:chOff x="4884038" y="3646650"/>
          <a:chExt cx="923925" cy="266700"/>
        </a:xfrm>
      </xdr:grpSpPr>
      <xdr:grpSp>
        <xdr:nvGrpSpPr>
          <xdr:cNvPr id="153" name="Shape 153">
            <a:extLst>
              <a:ext uri="{FF2B5EF4-FFF2-40B4-BE49-F238E27FC236}">
                <a16:creationId xmlns:a16="http://schemas.microsoft.com/office/drawing/2014/main" id="{00000000-0008-0000-2200-000099000000}"/>
              </a:ext>
            </a:extLst>
          </xdr:cNvPr>
          <xdr:cNvGrpSpPr/>
        </xdr:nvGrpSpPr>
        <xdr:grpSpPr>
          <a:xfrm>
            <a:off x="4884038" y="3646650"/>
            <a:ext cx="923925" cy="266700"/>
            <a:chOff x="4888800" y="3651413"/>
            <a:chExt cx="914400" cy="257175"/>
          </a:xfrm>
        </xdr:grpSpPr>
        <xdr:sp macro="" textlink="">
          <xdr:nvSpPr>
            <xdr:cNvPr id="4" name="Shape 4">
              <a:extLst>
                <a:ext uri="{FF2B5EF4-FFF2-40B4-BE49-F238E27FC236}">
                  <a16:creationId xmlns:a16="http://schemas.microsoft.com/office/drawing/2014/main" id="{00000000-0008-0000-2200-000004000000}"/>
                </a:ext>
              </a:extLst>
            </xdr:cNvPr>
            <xdr:cNvSpPr/>
          </xdr:nvSpPr>
          <xdr:spPr>
            <a:xfrm>
              <a:off x="4888800" y="3651413"/>
              <a:ext cx="914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4" name="Shape 154">
              <a:extLst>
                <a:ext uri="{FF2B5EF4-FFF2-40B4-BE49-F238E27FC236}">
                  <a16:creationId xmlns:a16="http://schemas.microsoft.com/office/drawing/2014/main" id="{00000000-0008-0000-2200-00009A000000}"/>
                </a:ext>
              </a:extLst>
            </xdr:cNvPr>
            <xdr:cNvCxnSpPr/>
          </xdr:nvCxnSpPr>
          <xdr:spPr>
            <a:xfrm flipH="1">
              <a:off x="4888800" y="3651413"/>
              <a:ext cx="914400" cy="2571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390525</xdr:colOff>
      <xdr:row>7</xdr:row>
      <xdr:rowOff>0</xdr:rowOff>
    </xdr:from>
    <xdr:ext cx="1076325" cy="828675"/>
    <xdr:grpSp>
      <xdr:nvGrpSpPr>
        <xdr:cNvPr id="3" name="Shape 2">
          <a:extLst>
            <a:ext uri="{FF2B5EF4-FFF2-40B4-BE49-F238E27FC236}">
              <a16:creationId xmlns:a16="http://schemas.microsoft.com/office/drawing/2014/main" id="{00000000-0008-0000-2200-000003000000}"/>
            </a:ext>
          </a:extLst>
        </xdr:cNvPr>
        <xdr:cNvGrpSpPr/>
      </xdr:nvGrpSpPr>
      <xdr:grpSpPr>
        <a:xfrm>
          <a:off x="390525" y="1647825"/>
          <a:ext cx="1076325" cy="828675"/>
          <a:chOff x="4807838" y="3365663"/>
          <a:chExt cx="1076325" cy="828675"/>
        </a:xfrm>
      </xdr:grpSpPr>
      <xdr:grpSp>
        <xdr:nvGrpSpPr>
          <xdr:cNvPr id="155" name="Shape 155">
            <a:extLst>
              <a:ext uri="{FF2B5EF4-FFF2-40B4-BE49-F238E27FC236}">
                <a16:creationId xmlns:a16="http://schemas.microsoft.com/office/drawing/2014/main" id="{00000000-0008-0000-2200-00009B000000}"/>
              </a:ext>
            </a:extLst>
          </xdr:cNvPr>
          <xdr:cNvGrpSpPr/>
        </xdr:nvGrpSpPr>
        <xdr:grpSpPr>
          <a:xfrm>
            <a:off x="4807838" y="3365663"/>
            <a:ext cx="1076325" cy="828675"/>
            <a:chOff x="4812600" y="3370425"/>
            <a:chExt cx="1066800" cy="819150"/>
          </a:xfrm>
        </xdr:grpSpPr>
        <xdr:sp macro="" textlink="">
          <xdr:nvSpPr>
            <xdr:cNvPr id="5" name="Shape 4">
              <a:extLst>
                <a:ext uri="{FF2B5EF4-FFF2-40B4-BE49-F238E27FC236}">
                  <a16:creationId xmlns:a16="http://schemas.microsoft.com/office/drawing/2014/main" id="{00000000-0008-0000-2200-000005000000}"/>
                </a:ext>
              </a:extLst>
            </xdr:cNvPr>
            <xdr:cNvSpPr/>
          </xdr:nvSpPr>
          <xdr:spPr>
            <a:xfrm>
              <a:off x="4812600" y="3370425"/>
              <a:ext cx="1066800"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6" name="Shape 156">
              <a:extLst>
                <a:ext uri="{FF2B5EF4-FFF2-40B4-BE49-F238E27FC236}">
                  <a16:creationId xmlns:a16="http://schemas.microsoft.com/office/drawing/2014/main" id="{00000000-0008-0000-2200-00009C000000}"/>
                </a:ext>
              </a:extLst>
            </xdr:cNvPr>
            <xdr:cNvCxnSpPr/>
          </xdr:nvCxnSpPr>
          <xdr:spPr>
            <a:xfrm flipH="1">
              <a:off x="4812600" y="3370425"/>
              <a:ext cx="1066800" cy="8191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6" name="image1.jpg">
          <a:extLst>
            <a:ext uri="{FF2B5EF4-FFF2-40B4-BE49-F238E27FC236}">
              <a16:creationId xmlns:a16="http://schemas.microsoft.com/office/drawing/2014/main" id="{00000000-0008-0000-2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dr:oneCellAnchor>
    <xdr:from>
      <xdr:col>0</xdr:col>
      <xdr:colOff>342900</xdr:colOff>
      <xdr:row>7</xdr:row>
      <xdr:rowOff>0</xdr:rowOff>
    </xdr:from>
    <xdr:ext cx="161925" cy="228600"/>
    <xdr:grpSp>
      <xdr:nvGrpSpPr>
        <xdr:cNvPr id="2" name="Shape 2">
          <a:extLst>
            <a:ext uri="{FF2B5EF4-FFF2-40B4-BE49-F238E27FC236}">
              <a16:creationId xmlns:a16="http://schemas.microsoft.com/office/drawing/2014/main" id="{00000000-0008-0000-2300-000002000000}"/>
            </a:ext>
          </a:extLst>
        </xdr:cNvPr>
        <xdr:cNvGrpSpPr/>
      </xdr:nvGrpSpPr>
      <xdr:grpSpPr>
        <a:xfrm>
          <a:off x="342900" y="1647825"/>
          <a:ext cx="161925" cy="228600"/>
          <a:chOff x="5265038" y="3665700"/>
          <a:chExt cx="161925" cy="228600"/>
        </a:xfrm>
      </xdr:grpSpPr>
      <xdr:grpSp>
        <xdr:nvGrpSpPr>
          <xdr:cNvPr id="157" name="Shape 157">
            <a:extLst>
              <a:ext uri="{FF2B5EF4-FFF2-40B4-BE49-F238E27FC236}">
                <a16:creationId xmlns:a16="http://schemas.microsoft.com/office/drawing/2014/main" id="{00000000-0008-0000-2300-00009D000000}"/>
              </a:ext>
            </a:extLst>
          </xdr:cNvPr>
          <xdr:cNvGrpSpPr/>
        </xdr:nvGrpSpPr>
        <xdr:grpSpPr>
          <a:xfrm>
            <a:off x="5265038" y="3665700"/>
            <a:ext cx="161925" cy="228600"/>
            <a:chOff x="5269800" y="3670463"/>
            <a:chExt cx="152400" cy="219075"/>
          </a:xfrm>
        </xdr:grpSpPr>
        <xdr:sp macro="" textlink="">
          <xdr:nvSpPr>
            <xdr:cNvPr id="4" name="Shape 4">
              <a:extLst>
                <a:ext uri="{FF2B5EF4-FFF2-40B4-BE49-F238E27FC236}">
                  <a16:creationId xmlns:a16="http://schemas.microsoft.com/office/drawing/2014/main" id="{00000000-0008-0000-2300-000004000000}"/>
                </a:ext>
              </a:extLst>
            </xdr:cNvPr>
            <xdr:cNvSpPr/>
          </xdr:nvSpPr>
          <xdr:spPr>
            <a:xfrm>
              <a:off x="5269800" y="3670463"/>
              <a:ext cx="152400"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8" name="Shape 158">
              <a:extLst>
                <a:ext uri="{FF2B5EF4-FFF2-40B4-BE49-F238E27FC236}">
                  <a16:creationId xmlns:a16="http://schemas.microsoft.com/office/drawing/2014/main" id="{00000000-0008-0000-2300-00009E000000}"/>
                </a:ext>
              </a:extLst>
            </xdr:cNvPr>
            <xdr:cNvCxnSpPr/>
          </xdr:nvCxnSpPr>
          <xdr:spPr>
            <a:xfrm flipH="1">
              <a:off x="5269800" y="3670463"/>
              <a:ext cx="152400" cy="2190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 name="image1.jpg">
          <a:extLst>
            <a:ext uri="{FF2B5EF4-FFF2-40B4-BE49-F238E27FC236}">
              <a16:creationId xmlns:a16="http://schemas.microsoft.com/office/drawing/2014/main" id="{00000000-0008-0000-2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dr:oneCellAnchor>
    <xdr:from>
      <xdr:col>0</xdr:col>
      <xdr:colOff>342900</xdr:colOff>
      <xdr:row>6</xdr:row>
      <xdr:rowOff>161925</xdr:rowOff>
    </xdr:from>
    <xdr:ext cx="1047750" cy="276225"/>
    <xdr:grpSp>
      <xdr:nvGrpSpPr>
        <xdr:cNvPr id="2" name="Shape 2">
          <a:extLst>
            <a:ext uri="{FF2B5EF4-FFF2-40B4-BE49-F238E27FC236}">
              <a16:creationId xmlns:a16="http://schemas.microsoft.com/office/drawing/2014/main" id="{00000000-0008-0000-2400-000002000000}"/>
            </a:ext>
          </a:extLst>
        </xdr:cNvPr>
        <xdr:cNvGrpSpPr/>
      </xdr:nvGrpSpPr>
      <xdr:grpSpPr>
        <a:xfrm>
          <a:off x="342900" y="1609725"/>
          <a:ext cx="1047750" cy="276225"/>
          <a:chOff x="4822125" y="3641888"/>
          <a:chExt cx="1047750" cy="276225"/>
        </a:xfrm>
      </xdr:grpSpPr>
      <xdr:grpSp>
        <xdr:nvGrpSpPr>
          <xdr:cNvPr id="159" name="Shape 159">
            <a:extLst>
              <a:ext uri="{FF2B5EF4-FFF2-40B4-BE49-F238E27FC236}">
                <a16:creationId xmlns:a16="http://schemas.microsoft.com/office/drawing/2014/main" id="{00000000-0008-0000-2400-00009F000000}"/>
              </a:ext>
            </a:extLst>
          </xdr:cNvPr>
          <xdr:cNvGrpSpPr/>
        </xdr:nvGrpSpPr>
        <xdr:grpSpPr>
          <a:xfrm>
            <a:off x="4822125" y="3641888"/>
            <a:ext cx="1047750" cy="276225"/>
            <a:chOff x="4826888" y="3646650"/>
            <a:chExt cx="1038225" cy="266700"/>
          </a:xfrm>
        </xdr:grpSpPr>
        <xdr:sp macro="" textlink="">
          <xdr:nvSpPr>
            <xdr:cNvPr id="4" name="Shape 4">
              <a:extLst>
                <a:ext uri="{FF2B5EF4-FFF2-40B4-BE49-F238E27FC236}">
                  <a16:creationId xmlns:a16="http://schemas.microsoft.com/office/drawing/2014/main" id="{00000000-0008-0000-2400-000004000000}"/>
                </a:ext>
              </a:extLst>
            </xdr:cNvPr>
            <xdr:cNvSpPr/>
          </xdr:nvSpPr>
          <xdr:spPr>
            <a:xfrm>
              <a:off x="4826888" y="3646650"/>
              <a:ext cx="1038225" cy="266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0" name="Shape 160">
              <a:extLst>
                <a:ext uri="{FF2B5EF4-FFF2-40B4-BE49-F238E27FC236}">
                  <a16:creationId xmlns:a16="http://schemas.microsoft.com/office/drawing/2014/main" id="{00000000-0008-0000-2400-0000A0000000}"/>
                </a:ext>
              </a:extLst>
            </xdr:cNvPr>
            <xdr:cNvCxnSpPr/>
          </xdr:nvCxnSpPr>
          <xdr:spPr>
            <a:xfrm flipH="1">
              <a:off x="4826888" y="3646650"/>
              <a:ext cx="1038225" cy="2667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1571625" cy="857250"/>
    <xdr:grpSp>
      <xdr:nvGrpSpPr>
        <xdr:cNvPr id="3" name="Shape 2">
          <a:extLst>
            <a:ext uri="{FF2B5EF4-FFF2-40B4-BE49-F238E27FC236}">
              <a16:creationId xmlns:a16="http://schemas.microsoft.com/office/drawing/2014/main" id="{00000000-0008-0000-2400-000003000000}"/>
            </a:ext>
          </a:extLst>
        </xdr:cNvPr>
        <xdr:cNvGrpSpPr/>
      </xdr:nvGrpSpPr>
      <xdr:grpSpPr>
        <a:xfrm>
          <a:off x="342900" y="1628775"/>
          <a:ext cx="1571625" cy="857250"/>
          <a:chOff x="4560188" y="3351375"/>
          <a:chExt cx="1571625" cy="857250"/>
        </a:xfrm>
      </xdr:grpSpPr>
      <xdr:grpSp>
        <xdr:nvGrpSpPr>
          <xdr:cNvPr id="161" name="Shape 161">
            <a:extLst>
              <a:ext uri="{FF2B5EF4-FFF2-40B4-BE49-F238E27FC236}">
                <a16:creationId xmlns:a16="http://schemas.microsoft.com/office/drawing/2014/main" id="{00000000-0008-0000-2400-0000A1000000}"/>
              </a:ext>
            </a:extLst>
          </xdr:cNvPr>
          <xdr:cNvGrpSpPr/>
        </xdr:nvGrpSpPr>
        <xdr:grpSpPr>
          <a:xfrm>
            <a:off x="4560188" y="3351375"/>
            <a:ext cx="1571625" cy="857250"/>
            <a:chOff x="4564950" y="3356138"/>
            <a:chExt cx="1562100" cy="847725"/>
          </a:xfrm>
        </xdr:grpSpPr>
        <xdr:sp macro="" textlink="">
          <xdr:nvSpPr>
            <xdr:cNvPr id="5" name="Shape 4">
              <a:extLst>
                <a:ext uri="{FF2B5EF4-FFF2-40B4-BE49-F238E27FC236}">
                  <a16:creationId xmlns:a16="http://schemas.microsoft.com/office/drawing/2014/main" id="{00000000-0008-0000-2400-000005000000}"/>
                </a:ext>
              </a:extLst>
            </xdr:cNvPr>
            <xdr:cNvSpPr/>
          </xdr:nvSpPr>
          <xdr:spPr>
            <a:xfrm>
              <a:off x="4564950" y="3356138"/>
              <a:ext cx="1562100" cy="847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2" name="Shape 162">
              <a:extLst>
                <a:ext uri="{FF2B5EF4-FFF2-40B4-BE49-F238E27FC236}">
                  <a16:creationId xmlns:a16="http://schemas.microsoft.com/office/drawing/2014/main" id="{00000000-0008-0000-2400-0000A2000000}"/>
                </a:ext>
              </a:extLst>
            </xdr:cNvPr>
            <xdr:cNvCxnSpPr/>
          </xdr:nvCxnSpPr>
          <xdr:spPr>
            <a:xfrm flipH="1">
              <a:off x="4564950" y="3356138"/>
              <a:ext cx="1562100" cy="8477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6" name="image1.jpg">
          <a:extLst>
            <a:ext uri="{FF2B5EF4-FFF2-40B4-BE49-F238E27FC236}">
              <a16:creationId xmlns:a16="http://schemas.microsoft.com/office/drawing/2014/main" id="{00000000-0008-0000-24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dr:oneCellAnchor>
    <xdr:from>
      <xdr:col>0</xdr:col>
      <xdr:colOff>342900</xdr:colOff>
      <xdr:row>6</xdr:row>
      <xdr:rowOff>180975</xdr:rowOff>
    </xdr:from>
    <xdr:ext cx="495300" cy="257175"/>
    <xdr:grpSp>
      <xdr:nvGrpSpPr>
        <xdr:cNvPr id="2" name="Shape 2">
          <a:extLst>
            <a:ext uri="{FF2B5EF4-FFF2-40B4-BE49-F238E27FC236}">
              <a16:creationId xmlns:a16="http://schemas.microsoft.com/office/drawing/2014/main" id="{00000000-0008-0000-2500-000002000000}"/>
            </a:ext>
          </a:extLst>
        </xdr:cNvPr>
        <xdr:cNvGrpSpPr/>
      </xdr:nvGrpSpPr>
      <xdr:grpSpPr>
        <a:xfrm>
          <a:off x="342900" y="1628775"/>
          <a:ext cx="495300" cy="257175"/>
          <a:chOff x="5098350" y="3651413"/>
          <a:chExt cx="495300" cy="257175"/>
        </a:xfrm>
      </xdr:grpSpPr>
      <xdr:grpSp>
        <xdr:nvGrpSpPr>
          <xdr:cNvPr id="163" name="Shape 163">
            <a:extLst>
              <a:ext uri="{FF2B5EF4-FFF2-40B4-BE49-F238E27FC236}">
                <a16:creationId xmlns:a16="http://schemas.microsoft.com/office/drawing/2014/main" id="{00000000-0008-0000-2500-0000A3000000}"/>
              </a:ext>
            </a:extLst>
          </xdr:cNvPr>
          <xdr:cNvGrpSpPr/>
        </xdr:nvGrpSpPr>
        <xdr:grpSpPr>
          <a:xfrm>
            <a:off x="5098350" y="3651413"/>
            <a:ext cx="495300" cy="257175"/>
            <a:chOff x="5103113" y="3656175"/>
            <a:chExt cx="485775" cy="247650"/>
          </a:xfrm>
        </xdr:grpSpPr>
        <xdr:sp macro="" textlink="">
          <xdr:nvSpPr>
            <xdr:cNvPr id="4" name="Shape 4">
              <a:extLst>
                <a:ext uri="{FF2B5EF4-FFF2-40B4-BE49-F238E27FC236}">
                  <a16:creationId xmlns:a16="http://schemas.microsoft.com/office/drawing/2014/main" id="{00000000-0008-0000-2500-000004000000}"/>
                </a:ext>
              </a:extLst>
            </xdr:cNvPr>
            <xdr:cNvSpPr/>
          </xdr:nvSpPr>
          <xdr:spPr>
            <a:xfrm>
              <a:off x="5103113" y="3656175"/>
              <a:ext cx="4857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 name="Shape 164">
              <a:extLst>
                <a:ext uri="{FF2B5EF4-FFF2-40B4-BE49-F238E27FC236}">
                  <a16:creationId xmlns:a16="http://schemas.microsoft.com/office/drawing/2014/main" id="{00000000-0008-0000-2500-0000A4000000}"/>
                </a:ext>
              </a:extLst>
            </xdr:cNvPr>
            <xdr:cNvCxnSpPr/>
          </xdr:nvCxnSpPr>
          <xdr:spPr>
            <a:xfrm flipH="1">
              <a:off x="5103113" y="3656175"/>
              <a:ext cx="48577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390525</xdr:colOff>
      <xdr:row>7</xdr:row>
      <xdr:rowOff>0</xdr:rowOff>
    </xdr:from>
    <xdr:ext cx="1076325" cy="828675"/>
    <xdr:grpSp>
      <xdr:nvGrpSpPr>
        <xdr:cNvPr id="3" name="Shape 2">
          <a:extLst>
            <a:ext uri="{FF2B5EF4-FFF2-40B4-BE49-F238E27FC236}">
              <a16:creationId xmlns:a16="http://schemas.microsoft.com/office/drawing/2014/main" id="{00000000-0008-0000-2500-000003000000}"/>
            </a:ext>
          </a:extLst>
        </xdr:cNvPr>
        <xdr:cNvGrpSpPr/>
      </xdr:nvGrpSpPr>
      <xdr:grpSpPr>
        <a:xfrm>
          <a:off x="390525" y="1647825"/>
          <a:ext cx="1076325" cy="828675"/>
          <a:chOff x="4807838" y="3365663"/>
          <a:chExt cx="1076325" cy="828675"/>
        </a:xfrm>
      </xdr:grpSpPr>
      <xdr:grpSp>
        <xdr:nvGrpSpPr>
          <xdr:cNvPr id="165" name="Shape 165">
            <a:extLst>
              <a:ext uri="{FF2B5EF4-FFF2-40B4-BE49-F238E27FC236}">
                <a16:creationId xmlns:a16="http://schemas.microsoft.com/office/drawing/2014/main" id="{00000000-0008-0000-2500-0000A5000000}"/>
              </a:ext>
            </a:extLst>
          </xdr:cNvPr>
          <xdr:cNvGrpSpPr/>
        </xdr:nvGrpSpPr>
        <xdr:grpSpPr>
          <a:xfrm>
            <a:off x="4807838" y="3365663"/>
            <a:ext cx="1076325" cy="828675"/>
            <a:chOff x="4812600" y="3370425"/>
            <a:chExt cx="1066800" cy="819150"/>
          </a:xfrm>
        </xdr:grpSpPr>
        <xdr:sp macro="" textlink="">
          <xdr:nvSpPr>
            <xdr:cNvPr id="5" name="Shape 4">
              <a:extLst>
                <a:ext uri="{FF2B5EF4-FFF2-40B4-BE49-F238E27FC236}">
                  <a16:creationId xmlns:a16="http://schemas.microsoft.com/office/drawing/2014/main" id="{00000000-0008-0000-2500-000005000000}"/>
                </a:ext>
              </a:extLst>
            </xdr:cNvPr>
            <xdr:cNvSpPr/>
          </xdr:nvSpPr>
          <xdr:spPr>
            <a:xfrm>
              <a:off x="4812600" y="3370425"/>
              <a:ext cx="1066800" cy="819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 name="Shape 166">
              <a:extLst>
                <a:ext uri="{FF2B5EF4-FFF2-40B4-BE49-F238E27FC236}">
                  <a16:creationId xmlns:a16="http://schemas.microsoft.com/office/drawing/2014/main" id="{00000000-0008-0000-2500-0000A6000000}"/>
                </a:ext>
              </a:extLst>
            </xdr:cNvPr>
            <xdr:cNvCxnSpPr/>
          </xdr:nvCxnSpPr>
          <xdr:spPr>
            <a:xfrm flipH="1">
              <a:off x="4812600" y="3370425"/>
              <a:ext cx="1066800" cy="8191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6" name="image1.jpg">
          <a:extLst>
            <a:ext uri="{FF2B5EF4-FFF2-40B4-BE49-F238E27FC236}">
              <a16:creationId xmlns:a16="http://schemas.microsoft.com/office/drawing/2014/main" id="{00000000-0008-0000-25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dr:oneCellAnchor>
    <xdr:from>
      <xdr:col>0</xdr:col>
      <xdr:colOff>342900</xdr:colOff>
      <xdr:row>6</xdr:row>
      <xdr:rowOff>180975</xdr:rowOff>
    </xdr:from>
    <xdr:ext cx="495300" cy="257175"/>
    <xdr:grpSp>
      <xdr:nvGrpSpPr>
        <xdr:cNvPr id="2" name="Shape 2">
          <a:extLst>
            <a:ext uri="{FF2B5EF4-FFF2-40B4-BE49-F238E27FC236}">
              <a16:creationId xmlns:a16="http://schemas.microsoft.com/office/drawing/2014/main" id="{00000000-0008-0000-2600-000002000000}"/>
            </a:ext>
          </a:extLst>
        </xdr:cNvPr>
        <xdr:cNvGrpSpPr/>
      </xdr:nvGrpSpPr>
      <xdr:grpSpPr>
        <a:xfrm>
          <a:off x="342900" y="1628775"/>
          <a:ext cx="495300" cy="257175"/>
          <a:chOff x="5098350" y="3651413"/>
          <a:chExt cx="495300" cy="257175"/>
        </a:xfrm>
      </xdr:grpSpPr>
      <xdr:grpSp>
        <xdr:nvGrpSpPr>
          <xdr:cNvPr id="167" name="Shape 167">
            <a:extLst>
              <a:ext uri="{FF2B5EF4-FFF2-40B4-BE49-F238E27FC236}">
                <a16:creationId xmlns:a16="http://schemas.microsoft.com/office/drawing/2014/main" id="{00000000-0008-0000-2600-0000A7000000}"/>
              </a:ext>
            </a:extLst>
          </xdr:cNvPr>
          <xdr:cNvGrpSpPr/>
        </xdr:nvGrpSpPr>
        <xdr:grpSpPr>
          <a:xfrm>
            <a:off x="5098350" y="3651413"/>
            <a:ext cx="495300" cy="257175"/>
            <a:chOff x="5103113" y="3656175"/>
            <a:chExt cx="485775" cy="247650"/>
          </a:xfrm>
        </xdr:grpSpPr>
        <xdr:sp macro="" textlink="">
          <xdr:nvSpPr>
            <xdr:cNvPr id="4" name="Shape 4">
              <a:extLst>
                <a:ext uri="{FF2B5EF4-FFF2-40B4-BE49-F238E27FC236}">
                  <a16:creationId xmlns:a16="http://schemas.microsoft.com/office/drawing/2014/main" id="{00000000-0008-0000-2600-000004000000}"/>
                </a:ext>
              </a:extLst>
            </xdr:cNvPr>
            <xdr:cNvSpPr/>
          </xdr:nvSpPr>
          <xdr:spPr>
            <a:xfrm>
              <a:off x="5103113" y="3656175"/>
              <a:ext cx="4857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 name="Shape 168">
              <a:extLst>
                <a:ext uri="{FF2B5EF4-FFF2-40B4-BE49-F238E27FC236}">
                  <a16:creationId xmlns:a16="http://schemas.microsoft.com/office/drawing/2014/main" id="{00000000-0008-0000-2600-0000A8000000}"/>
                </a:ext>
              </a:extLst>
            </xdr:cNvPr>
            <xdr:cNvCxnSpPr/>
          </xdr:nvCxnSpPr>
          <xdr:spPr>
            <a:xfrm flipH="1">
              <a:off x="5103113" y="3656175"/>
              <a:ext cx="48577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600-000003000000}"/>
            </a:ext>
          </a:extLst>
        </xdr:cNvPr>
        <xdr:cNvGrpSpPr/>
      </xdr:nvGrpSpPr>
      <xdr:grpSpPr>
        <a:xfrm>
          <a:off x="342900" y="1628775"/>
          <a:ext cx="238125" cy="257175"/>
          <a:chOff x="5226938" y="3651413"/>
          <a:chExt cx="238125" cy="257175"/>
        </a:xfrm>
      </xdr:grpSpPr>
      <xdr:grpSp>
        <xdr:nvGrpSpPr>
          <xdr:cNvPr id="169" name="Shape 169">
            <a:extLst>
              <a:ext uri="{FF2B5EF4-FFF2-40B4-BE49-F238E27FC236}">
                <a16:creationId xmlns:a16="http://schemas.microsoft.com/office/drawing/2014/main" id="{00000000-0008-0000-2600-0000A9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6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 name="Shape 170">
              <a:extLst>
                <a:ext uri="{FF2B5EF4-FFF2-40B4-BE49-F238E27FC236}">
                  <a16:creationId xmlns:a16="http://schemas.microsoft.com/office/drawing/2014/main" id="{00000000-0008-0000-2600-0000AA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6" name="image1.jpg">
          <a:extLst>
            <a:ext uri="{FF2B5EF4-FFF2-40B4-BE49-F238E27FC236}">
              <a16:creationId xmlns:a16="http://schemas.microsoft.com/office/drawing/2014/main" id="{00000000-0008-0000-26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dr:oneCellAnchor>
    <xdr:from>
      <xdr:col>0</xdr:col>
      <xdr:colOff>342900</xdr:colOff>
      <xdr:row>6</xdr:row>
      <xdr:rowOff>180975</xdr:rowOff>
    </xdr:from>
    <xdr:ext cx="495300" cy="257175"/>
    <xdr:grpSp>
      <xdr:nvGrpSpPr>
        <xdr:cNvPr id="2" name="Shape 2">
          <a:extLst>
            <a:ext uri="{FF2B5EF4-FFF2-40B4-BE49-F238E27FC236}">
              <a16:creationId xmlns:a16="http://schemas.microsoft.com/office/drawing/2014/main" id="{00000000-0008-0000-2700-000002000000}"/>
            </a:ext>
          </a:extLst>
        </xdr:cNvPr>
        <xdr:cNvGrpSpPr/>
      </xdr:nvGrpSpPr>
      <xdr:grpSpPr>
        <a:xfrm>
          <a:off x="342900" y="1628775"/>
          <a:ext cx="495300" cy="257175"/>
          <a:chOff x="5098350" y="3651413"/>
          <a:chExt cx="495300" cy="257175"/>
        </a:xfrm>
      </xdr:grpSpPr>
      <xdr:grpSp>
        <xdr:nvGrpSpPr>
          <xdr:cNvPr id="171" name="Shape 171">
            <a:extLst>
              <a:ext uri="{FF2B5EF4-FFF2-40B4-BE49-F238E27FC236}">
                <a16:creationId xmlns:a16="http://schemas.microsoft.com/office/drawing/2014/main" id="{00000000-0008-0000-2700-0000AB000000}"/>
              </a:ext>
            </a:extLst>
          </xdr:cNvPr>
          <xdr:cNvGrpSpPr/>
        </xdr:nvGrpSpPr>
        <xdr:grpSpPr>
          <a:xfrm>
            <a:off x="5098350" y="3651413"/>
            <a:ext cx="495300" cy="257175"/>
            <a:chOff x="5103113" y="3656175"/>
            <a:chExt cx="485775" cy="247650"/>
          </a:xfrm>
        </xdr:grpSpPr>
        <xdr:sp macro="" textlink="">
          <xdr:nvSpPr>
            <xdr:cNvPr id="4" name="Shape 4">
              <a:extLst>
                <a:ext uri="{FF2B5EF4-FFF2-40B4-BE49-F238E27FC236}">
                  <a16:creationId xmlns:a16="http://schemas.microsoft.com/office/drawing/2014/main" id="{00000000-0008-0000-2700-000004000000}"/>
                </a:ext>
              </a:extLst>
            </xdr:cNvPr>
            <xdr:cNvSpPr/>
          </xdr:nvSpPr>
          <xdr:spPr>
            <a:xfrm>
              <a:off x="5103113" y="3656175"/>
              <a:ext cx="4857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 name="Shape 172">
              <a:extLst>
                <a:ext uri="{FF2B5EF4-FFF2-40B4-BE49-F238E27FC236}">
                  <a16:creationId xmlns:a16="http://schemas.microsoft.com/office/drawing/2014/main" id="{00000000-0008-0000-2700-0000AC000000}"/>
                </a:ext>
              </a:extLst>
            </xdr:cNvPr>
            <xdr:cNvCxnSpPr/>
          </xdr:nvCxnSpPr>
          <xdr:spPr>
            <a:xfrm flipH="1">
              <a:off x="5103113" y="3656175"/>
              <a:ext cx="48577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700-000003000000}"/>
            </a:ext>
          </a:extLst>
        </xdr:cNvPr>
        <xdr:cNvGrpSpPr/>
      </xdr:nvGrpSpPr>
      <xdr:grpSpPr>
        <a:xfrm>
          <a:off x="342900" y="1628775"/>
          <a:ext cx="238125" cy="257175"/>
          <a:chOff x="5226938" y="3651413"/>
          <a:chExt cx="238125" cy="257175"/>
        </a:xfrm>
      </xdr:grpSpPr>
      <xdr:grpSp>
        <xdr:nvGrpSpPr>
          <xdr:cNvPr id="173" name="Shape 173">
            <a:extLst>
              <a:ext uri="{FF2B5EF4-FFF2-40B4-BE49-F238E27FC236}">
                <a16:creationId xmlns:a16="http://schemas.microsoft.com/office/drawing/2014/main" id="{00000000-0008-0000-2700-0000AD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7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 name="Shape 174">
              <a:extLst>
                <a:ext uri="{FF2B5EF4-FFF2-40B4-BE49-F238E27FC236}">
                  <a16:creationId xmlns:a16="http://schemas.microsoft.com/office/drawing/2014/main" id="{00000000-0008-0000-2700-0000AE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6" name="image1.jpg">
          <a:extLst>
            <a:ext uri="{FF2B5EF4-FFF2-40B4-BE49-F238E27FC236}">
              <a16:creationId xmlns:a16="http://schemas.microsoft.com/office/drawing/2014/main" id="{00000000-0008-0000-27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dr:oneCellAnchor>
    <xdr:from>
      <xdr:col>0</xdr:col>
      <xdr:colOff>342900</xdr:colOff>
      <xdr:row>6</xdr:row>
      <xdr:rowOff>180975</xdr:rowOff>
    </xdr:from>
    <xdr:ext cx="495300" cy="257175"/>
    <xdr:grpSp>
      <xdr:nvGrpSpPr>
        <xdr:cNvPr id="2" name="Shape 2">
          <a:extLst>
            <a:ext uri="{FF2B5EF4-FFF2-40B4-BE49-F238E27FC236}">
              <a16:creationId xmlns:a16="http://schemas.microsoft.com/office/drawing/2014/main" id="{00000000-0008-0000-2800-000002000000}"/>
            </a:ext>
          </a:extLst>
        </xdr:cNvPr>
        <xdr:cNvGrpSpPr/>
      </xdr:nvGrpSpPr>
      <xdr:grpSpPr>
        <a:xfrm>
          <a:off x="342900" y="1628775"/>
          <a:ext cx="495300" cy="257175"/>
          <a:chOff x="5098350" y="3651413"/>
          <a:chExt cx="495300" cy="257175"/>
        </a:xfrm>
      </xdr:grpSpPr>
      <xdr:grpSp>
        <xdr:nvGrpSpPr>
          <xdr:cNvPr id="175" name="Shape 175">
            <a:extLst>
              <a:ext uri="{FF2B5EF4-FFF2-40B4-BE49-F238E27FC236}">
                <a16:creationId xmlns:a16="http://schemas.microsoft.com/office/drawing/2014/main" id="{00000000-0008-0000-2800-0000AF000000}"/>
              </a:ext>
            </a:extLst>
          </xdr:cNvPr>
          <xdr:cNvGrpSpPr/>
        </xdr:nvGrpSpPr>
        <xdr:grpSpPr>
          <a:xfrm>
            <a:off x="5098350" y="3651413"/>
            <a:ext cx="495300" cy="257175"/>
            <a:chOff x="5103113" y="3656175"/>
            <a:chExt cx="485775" cy="247650"/>
          </a:xfrm>
        </xdr:grpSpPr>
        <xdr:sp macro="" textlink="">
          <xdr:nvSpPr>
            <xdr:cNvPr id="4" name="Shape 4">
              <a:extLst>
                <a:ext uri="{FF2B5EF4-FFF2-40B4-BE49-F238E27FC236}">
                  <a16:creationId xmlns:a16="http://schemas.microsoft.com/office/drawing/2014/main" id="{00000000-0008-0000-2800-000004000000}"/>
                </a:ext>
              </a:extLst>
            </xdr:cNvPr>
            <xdr:cNvSpPr/>
          </xdr:nvSpPr>
          <xdr:spPr>
            <a:xfrm>
              <a:off x="5103113" y="3656175"/>
              <a:ext cx="4857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 name="Shape 176">
              <a:extLst>
                <a:ext uri="{FF2B5EF4-FFF2-40B4-BE49-F238E27FC236}">
                  <a16:creationId xmlns:a16="http://schemas.microsoft.com/office/drawing/2014/main" id="{00000000-0008-0000-2800-0000B0000000}"/>
                </a:ext>
              </a:extLst>
            </xdr:cNvPr>
            <xdr:cNvCxnSpPr/>
          </xdr:nvCxnSpPr>
          <xdr:spPr>
            <a:xfrm flipH="1">
              <a:off x="5103113" y="3656175"/>
              <a:ext cx="48577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800-000003000000}"/>
            </a:ext>
          </a:extLst>
        </xdr:cNvPr>
        <xdr:cNvGrpSpPr/>
      </xdr:nvGrpSpPr>
      <xdr:grpSpPr>
        <a:xfrm>
          <a:off x="342900" y="1628775"/>
          <a:ext cx="238125" cy="257175"/>
          <a:chOff x="5226938" y="3651413"/>
          <a:chExt cx="238125" cy="257175"/>
        </a:xfrm>
      </xdr:grpSpPr>
      <xdr:grpSp>
        <xdr:nvGrpSpPr>
          <xdr:cNvPr id="177" name="Shape 177">
            <a:extLst>
              <a:ext uri="{FF2B5EF4-FFF2-40B4-BE49-F238E27FC236}">
                <a16:creationId xmlns:a16="http://schemas.microsoft.com/office/drawing/2014/main" id="{00000000-0008-0000-2800-0000B1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8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 name="Shape 178">
              <a:extLst>
                <a:ext uri="{FF2B5EF4-FFF2-40B4-BE49-F238E27FC236}">
                  <a16:creationId xmlns:a16="http://schemas.microsoft.com/office/drawing/2014/main" id="{00000000-0008-0000-2800-0000B2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6" name="Shape 2">
          <a:extLst>
            <a:ext uri="{FF2B5EF4-FFF2-40B4-BE49-F238E27FC236}">
              <a16:creationId xmlns:a16="http://schemas.microsoft.com/office/drawing/2014/main" id="{00000000-0008-0000-2800-000006000000}"/>
            </a:ext>
          </a:extLst>
        </xdr:cNvPr>
        <xdr:cNvGrpSpPr/>
      </xdr:nvGrpSpPr>
      <xdr:grpSpPr>
        <a:xfrm>
          <a:off x="342900" y="1628775"/>
          <a:ext cx="238125" cy="257175"/>
          <a:chOff x="5226938" y="3651413"/>
          <a:chExt cx="238125" cy="257175"/>
        </a:xfrm>
      </xdr:grpSpPr>
      <xdr:grpSp>
        <xdr:nvGrpSpPr>
          <xdr:cNvPr id="179" name="Shape 179">
            <a:extLst>
              <a:ext uri="{FF2B5EF4-FFF2-40B4-BE49-F238E27FC236}">
                <a16:creationId xmlns:a16="http://schemas.microsoft.com/office/drawing/2014/main" id="{00000000-0008-0000-2800-0000B3000000}"/>
              </a:ext>
            </a:extLst>
          </xdr:cNvPr>
          <xdr:cNvGrpSpPr/>
        </xdr:nvGrpSpPr>
        <xdr:grpSpPr>
          <a:xfrm>
            <a:off x="5226938" y="3651413"/>
            <a:ext cx="238125" cy="257175"/>
            <a:chOff x="5231700" y="3656175"/>
            <a:chExt cx="228600" cy="247650"/>
          </a:xfrm>
        </xdr:grpSpPr>
        <xdr:sp macro="" textlink="">
          <xdr:nvSpPr>
            <xdr:cNvPr id="7" name="Shape 4">
              <a:extLst>
                <a:ext uri="{FF2B5EF4-FFF2-40B4-BE49-F238E27FC236}">
                  <a16:creationId xmlns:a16="http://schemas.microsoft.com/office/drawing/2014/main" id="{00000000-0008-0000-2800-000007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 name="Shape 180">
              <a:extLst>
                <a:ext uri="{FF2B5EF4-FFF2-40B4-BE49-F238E27FC236}">
                  <a16:creationId xmlns:a16="http://schemas.microsoft.com/office/drawing/2014/main" id="{00000000-0008-0000-2800-0000B4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8" name="Shape 2">
          <a:extLst>
            <a:ext uri="{FF2B5EF4-FFF2-40B4-BE49-F238E27FC236}">
              <a16:creationId xmlns:a16="http://schemas.microsoft.com/office/drawing/2014/main" id="{00000000-0008-0000-2800-000008000000}"/>
            </a:ext>
          </a:extLst>
        </xdr:cNvPr>
        <xdr:cNvGrpSpPr/>
      </xdr:nvGrpSpPr>
      <xdr:grpSpPr>
        <a:xfrm>
          <a:off x="342900" y="1628775"/>
          <a:ext cx="238125" cy="257175"/>
          <a:chOff x="5226938" y="3651413"/>
          <a:chExt cx="238125" cy="257175"/>
        </a:xfrm>
      </xdr:grpSpPr>
      <xdr:grpSp>
        <xdr:nvGrpSpPr>
          <xdr:cNvPr id="181" name="Shape 181">
            <a:extLst>
              <a:ext uri="{FF2B5EF4-FFF2-40B4-BE49-F238E27FC236}">
                <a16:creationId xmlns:a16="http://schemas.microsoft.com/office/drawing/2014/main" id="{00000000-0008-0000-2800-0000B5000000}"/>
              </a:ext>
            </a:extLst>
          </xdr:cNvPr>
          <xdr:cNvGrpSpPr/>
        </xdr:nvGrpSpPr>
        <xdr:grpSpPr>
          <a:xfrm>
            <a:off x="5226938" y="3651413"/>
            <a:ext cx="238125" cy="257175"/>
            <a:chOff x="5231700" y="3656175"/>
            <a:chExt cx="228600" cy="247650"/>
          </a:xfrm>
        </xdr:grpSpPr>
        <xdr:sp macro="" textlink="">
          <xdr:nvSpPr>
            <xdr:cNvPr id="9" name="Shape 4">
              <a:extLst>
                <a:ext uri="{FF2B5EF4-FFF2-40B4-BE49-F238E27FC236}">
                  <a16:creationId xmlns:a16="http://schemas.microsoft.com/office/drawing/2014/main" id="{00000000-0008-0000-2800-000009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 name="Shape 182">
              <a:extLst>
                <a:ext uri="{FF2B5EF4-FFF2-40B4-BE49-F238E27FC236}">
                  <a16:creationId xmlns:a16="http://schemas.microsoft.com/office/drawing/2014/main" id="{00000000-0008-0000-2800-0000B6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28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dr:oneCellAnchor>
    <xdr:from>
      <xdr:col>0</xdr:col>
      <xdr:colOff>342900</xdr:colOff>
      <xdr:row>6</xdr:row>
      <xdr:rowOff>180975</xdr:rowOff>
    </xdr:from>
    <xdr:ext cx="1238250" cy="257175"/>
    <xdr:grpSp>
      <xdr:nvGrpSpPr>
        <xdr:cNvPr id="2" name="Shape 2">
          <a:extLst>
            <a:ext uri="{FF2B5EF4-FFF2-40B4-BE49-F238E27FC236}">
              <a16:creationId xmlns:a16="http://schemas.microsoft.com/office/drawing/2014/main" id="{00000000-0008-0000-2900-000002000000}"/>
            </a:ext>
          </a:extLst>
        </xdr:cNvPr>
        <xdr:cNvGrpSpPr/>
      </xdr:nvGrpSpPr>
      <xdr:grpSpPr>
        <a:xfrm>
          <a:off x="342900" y="1628775"/>
          <a:ext cx="1238250" cy="257175"/>
          <a:chOff x="4726875" y="3651413"/>
          <a:chExt cx="1238250" cy="257175"/>
        </a:xfrm>
      </xdr:grpSpPr>
      <xdr:grpSp>
        <xdr:nvGrpSpPr>
          <xdr:cNvPr id="183" name="Shape 183">
            <a:extLst>
              <a:ext uri="{FF2B5EF4-FFF2-40B4-BE49-F238E27FC236}">
                <a16:creationId xmlns:a16="http://schemas.microsoft.com/office/drawing/2014/main" id="{00000000-0008-0000-2900-0000B7000000}"/>
              </a:ext>
            </a:extLst>
          </xdr:cNvPr>
          <xdr:cNvGrpSpPr/>
        </xdr:nvGrpSpPr>
        <xdr:grpSpPr>
          <a:xfrm>
            <a:off x="4726875" y="3651413"/>
            <a:ext cx="1238250" cy="257175"/>
            <a:chOff x="4731638" y="3656175"/>
            <a:chExt cx="1228725" cy="247650"/>
          </a:xfrm>
        </xdr:grpSpPr>
        <xdr:sp macro="" textlink="">
          <xdr:nvSpPr>
            <xdr:cNvPr id="4" name="Shape 4">
              <a:extLst>
                <a:ext uri="{FF2B5EF4-FFF2-40B4-BE49-F238E27FC236}">
                  <a16:creationId xmlns:a16="http://schemas.microsoft.com/office/drawing/2014/main" id="{00000000-0008-0000-2900-000004000000}"/>
                </a:ext>
              </a:extLst>
            </xdr:cNvPr>
            <xdr:cNvSpPr/>
          </xdr:nvSpPr>
          <xdr:spPr>
            <a:xfrm>
              <a:off x="4731638" y="3656175"/>
              <a:ext cx="122872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 name="Shape 184">
              <a:extLst>
                <a:ext uri="{FF2B5EF4-FFF2-40B4-BE49-F238E27FC236}">
                  <a16:creationId xmlns:a16="http://schemas.microsoft.com/office/drawing/2014/main" id="{00000000-0008-0000-2900-0000B8000000}"/>
                </a:ext>
              </a:extLst>
            </xdr:cNvPr>
            <xdr:cNvCxnSpPr/>
          </xdr:nvCxnSpPr>
          <xdr:spPr>
            <a:xfrm flipH="1">
              <a:off x="4731638" y="3656175"/>
              <a:ext cx="122872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900-000003000000}"/>
            </a:ext>
          </a:extLst>
        </xdr:cNvPr>
        <xdr:cNvGrpSpPr/>
      </xdr:nvGrpSpPr>
      <xdr:grpSpPr>
        <a:xfrm>
          <a:off x="342900" y="1628775"/>
          <a:ext cx="238125" cy="257175"/>
          <a:chOff x="5226938" y="3651413"/>
          <a:chExt cx="238125" cy="257175"/>
        </a:xfrm>
      </xdr:grpSpPr>
      <xdr:grpSp>
        <xdr:nvGrpSpPr>
          <xdr:cNvPr id="185" name="Shape 185">
            <a:extLst>
              <a:ext uri="{FF2B5EF4-FFF2-40B4-BE49-F238E27FC236}">
                <a16:creationId xmlns:a16="http://schemas.microsoft.com/office/drawing/2014/main" id="{00000000-0008-0000-2900-0000B9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9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 name="Shape 186">
              <a:extLst>
                <a:ext uri="{FF2B5EF4-FFF2-40B4-BE49-F238E27FC236}">
                  <a16:creationId xmlns:a16="http://schemas.microsoft.com/office/drawing/2014/main" id="{00000000-0008-0000-2900-0000BA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6" name="Shape 2">
          <a:extLst>
            <a:ext uri="{FF2B5EF4-FFF2-40B4-BE49-F238E27FC236}">
              <a16:creationId xmlns:a16="http://schemas.microsoft.com/office/drawing/2014/main" id="{00000000-0008-0000-2900-000006000000}"/>
            </a:ext>
          </a:extLst>
        </xdr:cNvPr>
        <xdr:cNvGrpSpPr/>
      </xdr:nvGrpSpPr>
      <xdr:grpSpPr>
        <a:xfrm>
          <a:off x="342900" y="1628775"/>
          <a:ext cx="238125" cy="257175"/>
          <a:chOff x="5226938" y="3651413"/>
          <a:chExt cx="238125" cy="257175"/>
        </a:xfrm>
      </xdr:grpSpPr>
      <xdr:grpSp>
        <xdr:nvGrpSpPr>
          <xdr:cNvPr id="187" name="Shape 187">
            <a:extLst>
              <a:ext uri="{FF2B5EF4-FFF2-40B4-BE49-F238E27FC236}">
                <a16:creationId xmlns:a16="http://schemas.microsoft.com/office/drawing/2014/main" id="{00000000-0008-0000-2900-0000BB000000}"/>
              </a:ext>
            </a:extLst>
          </xdr:cNvPr>
          <xdr:cNvGrpSpPr/>
        </xdr:nvGrpSpPr>
        <xdr:grpSpPr>
          <a:xfrm>
            <a:off x="5226938" y="3651413"/>
            <a:ext cx="238125" cy="257175"/>
            <a:chOff x="5231700" y="3656175"/>
            <a:chExt cx="228600" cy="247650"/>
          </a:xfrm>
        </xdr:grpSpPr>
        <xdr:sp macro="" textlink="">
          <xdr:nvSpPr>
            <xdr:cNvPr id="7" name="Shape 4">
              <a:extLst>
                <a:ext uri="{FF2B5EF4-FFF2-40B4-BE49-F238E27FC236}">
                  <a16:creationId xmlns:a16="http://schemas.microsoft.com/office/drawing/2014/main" id="{00000000-0008-0000-2900-000007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 name="Shape 188">
              <a:extLst>
                <a:ext uri="{FF2B5EF4-FFF2-40B4-BE49-F238E27FC236}">
                  <a16:creationId xmlns:a16="http://schemas.microsoft.com/office/drawing/2014/main" id="{00000000-0008-0000-2900-0000BC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8" name="Shape 2">
          <a:extLst>
            <a:ext uri="{FF2B5EF4-FFF2-40B4-BE49-F238E27FC236}">
              <a16:creationId xmlns:a16="http://schemas.microsoft.com/office/drawing/2014/main" id="{00000000-0008-0000-2900-000008000000}"/>
            </a:ext>
          </a:extLst>
        </xdr:cNvPr>
        <xdr:cNvGrpSpPr/>
      </xdr:nvGrpSpPr>
      <xdr:grpSpPr>
        <a:xfrm>
          <a:off x="342900" y="1628775"/>
          <a:ext cx="238125" cy="257175"/>
          <a:chOff x="5226938" y="3651413"/>
          <a:chExt cx="238125" cy="257175"/>
        </a:xfrm>
      </xdr:grpSpPr>
      <xdr:grpSp>
        <xdr:nvGrpSpPr>
          <xdr:cNvPr id="189" name="Shape 189">
            <a:extLst>
              <a:ext uri="{FF2B5EF4-FFF2-40B4-BE49-F238E27FC236}">
                <a16:creationId xmlns:a16="http://schemas.microsoft.com/office/drawing/2014/main" id="{00000000-0008-0000-2900-0000BD000000}"/>
              </a:ext>
            </a:extLst>
          </xdr:cNvPr>
          <xdr:cNvGrpSpPr/>
        </xdr:nvGrpSpPr>
        <xdr:grpSpPr>
          <a:xfrm>
            <a:off x="5226938" y="3651413"/>
            <a:ext cx="238125" cy="257175"/>
            <a:chOff x="5231700" y="3656175"/>
            <a:chExt cx="228600" cy="247650"/>
          </a:xfrm>
        </xdr:grpSpPr>
        <xdr:sp macro="" textlink="">
          <xdr:nvSpPr>
            <xdr:cNvPr id="9" name="Shape 4">
              <a:extLst>
                <a:ext uri="{FF2B5EF4-FFF2-40B4-BE49-F238E27FC236}">
                  <a16:creationId xmlns:a16="http://schemas.microsoft.com/office/drawing/2014/main" id="{00000000-0008-0000-2900-000009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 name="Shape 190">
              <a:extLst>
                <a:ext uri="{FF2B5EF4-FFF2-40B4-BE49-F238E27FC236}">
                  <a16:creationId xmlns:a16="http://schemas.microsoft.com/office/drawing/2014/main" id="{00000000-0008-0000-2900-0000BE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29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dr:oneCellAnchor>
    <xdr:from>
      <xdr:col>0</xdr:col>
      <xdr:colOff>342900</xdr:colOff>
      <xdr:row>6</xdr:row>
      <xdr:rowOff>180975</xdr:rowOff>
    </xdr:from>
    <xdr:ext cx="1238250" cy="257175"/>
    <xdr:grpSp>
      <xdr:nvGrpSpPr>
        <xdr:cNvPr id="2" name="Shape 2">
          <a:extLst>
            <a:ext uri="{FF2B5EF4-FFF2-40B4-BE49-F238E27FC236}">
              <a16:creationId xmlns:a16="http://schemas.microsoft.com/office/drawing/2014/main" id="{00000000-0008-0000-2A00-000002000000}"/>
            </a:ext>
          </a:extLst>
        </xdr:cNvPr>
        <xdr:cNvGrpSpPr/>
      </xdr:nvGrpSpPr>
      <xdr:grpSpPr>
        <a:xfrm>
          <a:off x="342900" y="1628775"/>
          <a:ext cx="1238250" cy="257175"/>
          <a:chOff x="4726875" y="3651413"/>
          <a:chExt cx="1238250" cy="257175"/>
        </a:xfrm>
      </xdr:grpSpPr>
      <xdr:grpSp>
        <xdr:nvGrpSpPr>
          <xdr:cNvPr id="191" name="Shape 191">
            <a:extLst>
              <a:ext uri="{FF2B5EF4-FFF2-40B4-BE49-F238E27FC236}">
                <a16:creationId xmlns:a16="http://schemas.microsoft.com/office/drawing/2014/main" id="{00000000-0008-0000-2A00-0000BF000000}"/>
              </a:ext>
            </a:extLst>
          </xdr:cNvPr>
          <xdr:cNvGrpSpPr/>
        </xdr:nvGrpSpPr>
        <xdr:grpSpPr>
          <a:xfrm>
            <a:off x="4726875" y="3651413"/>
            <a:ext cx="1238250" cy="257175"/>
            <a:chOff x="4731638" y="3656175"/>
            <a:chExt cx="1228725" cy="247650"/>
          </a:xfrm>
        </xdr:grpSpPr>
        <xdr:sp macro="" textlink="">
          <xdr:nvSpPr>
            <xdr:cNvPr id="4" name="Shape 4">
              <a:extLst>
                <a:ext uri="{FF2B5EF4-FFF2-40B4-BE49-F238E27FC236}">
                  <a16:creationId xmlns:a16="http://schemas.microsoft.com/office/drawing/2014/main" id="{00000000-0008-0000-2A00-000004000000}"/>
                </a:ext>
              </a:extLst>
            </xdr:cNvPr>
            <xdr:cNvSpPr/>
          </xdr:nvSpPr>
          <xdr:spPr>
            <a:xfrm>
              <a:off x="4731638" y="3656175"/>
              <a:ext cx="122872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 name="Shape 192">
              <a:extLst>
                <a:ext uri="{FF2B5EF4-FFF2-40B4-BE49-F238E27FC236}">
                  <a16:creationId xmlns:a16="http://schemas.microsoft.com/office/drawing/2014/main" id="{00000000-0008-0000-2A00-0000C0000000}"/>
                </a:ext>
              </a:extLst>
            </xdr:cNvPr>
            <xdr:cNvCxnSpPr/>
          </xdr:nvCxnSpPr>
          <xdr:spPr>
            <a:xfrm flipH="1">
              <a:off x="4731638" y="3656175"/>
              <a:ext cx="122872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A00-000003000000}"/>
            </a:ext>
          </a:extLst>
        </xdr:cNvPr>
        <xdr:cNvGrpSpPr/>
      </xdr:nvGrpSpPr>
      <xdr:grpSpPr>
        <a:xfrm>
          <a:off x="342900" y="1628775"/>
          <a:ext cx="238125" cy="257175"/>
          <a:chOff x="5226938" y="3651413"/>
          <a:chExt cx="238125" cy="257175"/>
        </a:xfrm>
      </xdr:grpSpPr>
      <xdr:grpSp>
        <xdr:nvGrpSpPr>
          <xdr:cNvPr id="193" name="Shape 193">
            <a:extLst>
              <a:ext uri="{FF2B5EF4-FFF2-40B4-BE49-F238E27FC236}">
                <a16:creationId xmlns:a16="http://schemas.microsoft.com/office/drawing/2014/main" id="{00000000-0008-0000-2A00-0000C1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A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 name="Shape 194">
              <a:extLst>
                <a:ext uri="{FF2B5EF4-FFF2-40B4-BE49-F238E27FC236}">
                  <a16:creationId xmlns:a16="http://schemas.microsoft.com/office/drawing/2014/main" id="{00000000-0008-0000-2A00-0000C2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6" name="Shape 2">
          <a:extLst>
            <a:ext uri="{FF2B5EF4-FFF2-40B4-BE49-F238E27FC236}">
              <a16:creationId xmlns:a16="http://schemas.microsoft.com/office/drawing/2014/main" id="{00000000-0008-0000-2A00-000006000000}"/>
            </a:ext>
          </a:extLst>
        </xdr:cNvPr>
        <xdr:cNvGrpSpPr/>
      </xdr:nvGrpSpPr>
      <xdr:grpSpPr>
        <a:xfrm>
          <a:off x="342900" y="1628775"/>
          <a:ext cx="238125" cy="257175"/>
          <a:chOff x="5226938" y="3651413"/>
          <a:chExt cx="238125" cy="257175"/>
        </a:xfrm>
      </xdr:grpSpPr>
      <xdr:grpSp>
        <xdr:nvGrpSpPr>
          <xdr:cNvPr id="195" name="Shape 195">
            <a:extLst>
              <a:ext uri="{FF2B5EF4-FFF2-40B4-BE49-F238E27FC236}">
                <a16:creationId xmlns:a16="http://schemas.microsoft.com/office/drawing/2014/main" id="{00000000-0008-0000-2A00-0000C3000000}"/>
              </a:ext>
            </a:extLst>
          </xdr:cNvPr>
          <xdr:cNvGrpSpPr/>
        </xdr:nvGrpSpPr>
        <xdr:grpSpPr>
          <a:xfrm>
            <a:off x="5226938" y="3651413"/>
            <a:ext cx="238125" cy="257175"/>
            <a:chOff x="5231700" y="3656175"/>
            <a:chExt cx="228600" cy="247650"/>
          </a:xfrm>
        </xdr:grpSpPr>
        <xdr:sp macro="" textlink="">
          <xdr:nvSpPr>
            <xdr:cNvPr id="7" name="Shape 4">
              <a:extLst>
                <a:ext uri="{FF2B5EF4-FFF2-40B4-BE49-F238E27FC236}">
                  <a16:creationId xmlns:a16="http://schemas.microsoft.com/office/drawing/2014/main" id="{00000000-0008-0000-2A00-000007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 name="Shape 196">
              <a:extLst>
                <a:ext uri="{FF2B5EF4-FFF2-40B4-BE49-F238E27FC236}">
                  <a16:creationId xmlns:a16="http://schemas.microsoft.com/office/drawing/2014/main" id="{00000000-0008-0000-2A00-0000C4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8" name="Shape 2">
          <a:extLst>
            <a:ext uri="{FF2B5EF4-FFF2-40B4-BE49-F238E27FC236}">
              <a16:creationId xmlns:a16="http://schemas.microsoft.com/office/drawing/2014/main" id="{00000000-0008-0000-2A00-000008000000}"/>
            </a:ext>
          </a:extLst>
        </xdr:cNvPr>
        <xdr:cNvGrpSpPr/>
      </xdr:nvGrpSpPr>
      <xdr:grpSpPr>
        <a:xfrm>
          <a:off x="342900" y="1628775"/>
          <a:ext cx="238125" cy="257175"/>
          <a:chOff x="5226938" y="3651413"/>
          <a:chExt cx="238125" cy="257175"/>
        </a:xfrm>
      </xdr:grpSpPr>
      <xdr:grpSp>
        <xdr:nvGrpSpPr>
          <xdr:cNvPr id="197" name="Shape 197">
            <a:extLst>
              <a:ext uri="{FF2B5EF4-FFF2-40B4-BE49-F238E27FC236}">
                <a16:creationId xmlns:a16="http://schemas.microsoft.com/office/drawing/2014/main" id="{00000000-0008-0000-2A00-0000C5000000}"/>
              </a:ext>
            </a:extLst>
          </xdr:cNvPr>
          <xdr:cNvGrpSpPr/>
        </xdr:nvGrpSpPr>
        <xdr:grpSpPr>
          <a:xfrm>
            <a:off x="5226938" y="3651413"/>
            <a:ext cx="238125" cy="257175"/>
            <a:chOff x="5231700" y="3656175"/>
            <a:chExt cx="228600" cy="247650"/>
          </a:xfrm>
        </xdr:grpSpPr>
        <xdr:sp macro="" textlink="">
          <xdr:nvSpPr>
            <xdr:cNvPr id="9" name="Shape 4">
              <a:extLst>
                <a:ext uri="{FF2B5EF4-FFF2-40B4-BE49-F238E27FC236}">
                  <a16:creationId xmlns:a16="http://schemas.microsoft.com/office/drawing/2014/main" id="{00000000-0008-0000-2A00-000009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 name="Shape 198">
              <a:extLst>
                <a:ext uri="{FF2B5EF4-FFF2-40B4-BE49-F238E27FC236}">
                  <a16:creationId xmlns:a16="http://schemas.microsoft.com/office/drawing/2014/main" id="{00000000-0008-0000-2A00-0000C6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2A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dr:oneCellAnchor>
    <xdr:from>
      <xdr:col>0</xdr:col>
      <xdr:colOff>342900</xdr:colOff>
      <xdr:row>6</xdr:row>
      <xdr:rowOff>180975</xdr:rowOff>
    </xdr:from>
    <xdr:ext cx="1238250" cy="257175"/>
    <xdr:grpSp>
      <xdr:nvGrpSpPr>
        <xdr:cNvPr id="2" name="Shape 2">
          <a:extLst>
            <a:ext uri="{FF2B5EF4-FFF2-40B4-BE49-F238E27FC236}">
              <a16:creationId xmlns:a16="http://schemas.microsoft.com/office/drawing/2014/main" id="{00000000-0008-0000-2B00-000002000000}"/>
            </a:ext>
          </a:extLst>
        </xdr:cNvPr>
        <xdr:cNvGrpSpPr/>
      </xdr:nvGrpSpPr>
      <xdr:grpSpPr>
        <a:xfrm>
          <a:off x="342900" y="1628775"/>
          <a:ext cx="1238250" cy="257175"/>
          <a:chOff x="4726875" y="3651413"/>
          <a:chExt cx="1238250" cy="257175"/>
        </a:xfrm>
      </xdr:grpSpPr>
      <xdr:grpSp>
        <xdr:nvGrpSpPr>
          <xdr:cNvPr id="199" name="Shape 199">
            <a:extLst>
              <a:ext uri="{FF2B5EF4-FFF2-40B4-BE49-F238E27FC236}">
                <a16:creationId xmlns:a16="http://schemas.microsoft.com/office/drawing/2014/main" id="{00000000-0008-0000-2B00-0000C7000000}"/>
              </a:ext>
            </a:extLst>
          </xdr:cNvPr>
          <xdr:cNvGrpSpPr/>
        </xdr:nvGrpSpPr>
        <xdr:grpSpPr>
          <a:xfrm>
            <a:off x="4726875" y="3651413"/>
            <a:ext cx="1238250" cy="257175"/>
            <a:chOff x="4731638" y="3656175"/>
            <a:chExt cx="1228725" cy="247650"/>
          </a:xfrm>
        </xdr:grpSpPr>
        <xdr:sp macro="" textlink="">
          <xdr:nvSpPr>
            <xdr:cNvPr id="4" name="Shape 4">
              <a:extLst>
                <a:ext uri="{FF2B5EF4-FFF2-40B4-BE49-F238E27FC236}">
                  <a16:creationId xmlns:a16="http://schemas.microsoft.com/office/drawing/2014/main" id="{00000000-0008-0000-2B00-000004000000}"/>
                </a:ext>
              </a:extLst>
            </xdr:cNvPr>
            <xdr:cNvSpPr/>
          </xdr:nvSpPr>
          <xdr:spPr>
            <a:xfrm>
              <a:off x="4731638" y="3656175"/>
              <a:ext cx="122872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 name="Shape 200">
              <a:extLst>
                <a:ext uri="{FF2B5EF4-FFF2-40B4-BE49-F238E27FC236}">
                  <a16:creationId xmlns:a16="http://schemas.microsoft.com/office/drawing/2014/main" id="{00000000-0008-0000-2B00-0000C8000000}"/>
                </a:ext>
              </a:extLst>
            </xdr:cNvPr>
            <xdr:cNvCxnSpPr/>
          </xdr:nvCxnSpPr>
          <xdr:spPr>
            <a:xfrm flipH="1">
              <a:off x="4731638" y="3656175"/>
              <a:ext cx="1228725"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B00-000003000000}"/>
            </a:ext>
          </a:extLst>
        </xdr:cNvPr>
        <xdr:cNvGrpSpPr/>
      </xdr:nvGrpSpPr>
      <xdr:grpSpPr>
        <a:xfrm>
          <a:off x="342900" y="1628775"/>
          <a:ext cx="238125" cy="257175"/>
          <a:chOff x="5226938" y="3651413"/>
          <a:chExt cx="238125" cy="257175"/>
        </a:xfrm>
      </xdr:grpSpPr>
      <xdr:grpSp>
        <xdr:nvGrpSpPr>
          <xdr:cNvPr id="201" name="Shape 201">
            <a:extLst>
              <a:ext uri="{FF2B5EF4-FFF2-40B4-BE49-F238E27FC236}">
                <a16:creationId xmlns:a16="http://schemas.microsoft.com/office/drawing/2014/main" id="{00000000-0008-0000-2B00-0000C9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B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 name="Shape 202">
              <a:extLst>
                <a:ext uri="{FF2B5EF4-FFF2-40B4-BE49-F238E27FC236}">
                  <a16:creationId xmlns:a16="http://schemas.microsoft.com/office/drawing/2014/main" id="{00000000-0008-0000-2B00-0000CA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6" name="Shape 2">
          <a:extLst>
            <a:ext uri="{FF2B5EF4-FFF2-40B4-BE49-F238E27FC236}">
              <a16:creationId xmlns:a16="http://schemas.microsoft.com/office/drawing/2014/main" id="{00000000-0008-0000-2B00-000006000000}"/>
            </a:ext>
          </a:extLst>
        </xdr:cNvPr>
        <xdr:cNvGrpSpPr/>
      </xdr:nvGrpSpPr>
      <xdr:grpSpPr>
        <a:xfrm>
          <a:off x="342900" y="1628775"/>
          <a:ext cx="238125" cy="257175"/>
          <a:chOff x="5226938" y="3651413"/>
          <a:chExt cx="238125" cy="257175"/>
        </a:xfrm>
      </xdr:grpSpPr>
      <xdr:grpSp>
        <xdr:nvGrpSpPr>
          <xdr:cNvPr id="203" name="Shape 203">
            <a:extLst>
              <a:ext uri="{FF2B5EF4-FFF2-40B4-BE49-F238E27FC236}">
                <a16:creationId xmlns:a16="http://schemas.microsoft.com/office/drawing/2014/main" id="{00000000-0008-0000-2B00-0000CB000000}"/>
              </a:ext>
            </a:extLst>
          </xdr:cNvPr>
          <xdr:cNvGrpSpPr/>
        </xdr:nvGrpSpPr>
        <xdr:grpSpPr>
          <a:xfrm>
            <a:off x="5226938" y="3651413"/>
            <a:ext cx="238125" cy="257175"/>
            <a:chOff x="5231700" y="3656175"/>
            <a:chExt cx="228600" cy="247650"/>
          </a:xfrm>
        </xdr:grpSpPr>
        <xdr:sp macro="" textlink="">
          <xdr:nvSpPr>
            <xdr:cNvPr id="7" name="Shape 4">
              <a:extLst>
                <a:ext uri="{FF2B5EF4-FFF2-40B4-BE49-F238E27FC236}">
                  <a16:creationId xmlns:a16="http://schemas.microsoft.com/office/drawing/2014/main" id="{00000000-0008-0000-2B00-000007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 name="Shape 204">
              <a:extLst>
                <a:ext uri="{FF2B5EF4-FFF2-40B4-BE49-F238E27FC236}">
                  <a16:creationId xmlns:a16="http://schemas.microsoft.com/office/drawing/2014/main" id="{00000000-0008-0000-2B00-0000CC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8" name="Shape 2">
          <a:extLst>
            <a:ext uri="{FF2B5EF4-FFF2-40B4-BE49-F238E27FC236}">
              <a16:creationId xmlns:a16="http://schemas.microsoft.com/office/drawing/2014/main" id="{00000000-0008-0000-2B00-000008000000}"/>
            </a:ext>
          </a:extLst>
        </xdr:cNvPr>
        <xdr:cNvGrpSpPr/>
      </xdr:nvGrpSpPr>
      <xdr:grpSpPr>
        <a:xfrm>
          <a:off x="342900" y="1628775"/>
          <a:ext cx="238125" cy="257175"/>
          <a:chOff x="5226938" y="3651413"/>
          <a:chExt cx="238125" cy="257175"/>
        </a:xfrm>
      </xdr:grpSpPr>
      <xdr:grpSp>
        <xdr:nvGrpSpPr>
          <xdr:cNvPr id="205" name="Shape 205">
            <a:extLst>
              <a:ext uri="{FF2B5EF4-FFF2-40B4-BE49-F238E27FC236}">
                <a16:creationId xmlns:a16="http://schemas.microsoft.com/office/drawing/2014/main" id="{00000000-0008-0000-2B00-0000CD000000}"/>
              </a:ext>
            </a:extLst>
          </xdr:cNvPr>
          <xdr:cNvGrpSpPr/>
        </xdr:nvGrpSpPr>
        <xdr:grpSpPr>
          <a:xfrm>
            <a:off x="5226938" y="3651413"/>
            <a:ext cx="238125" cy="257175"/>
            <a:chOff x="5231700" y="3656175"/>
            <a:chExt cx="228600" cy="247650"/>
          </a:xfrm>
        </xdr:grpSpPr>
        <xdr:sp macro="" textlink="">
          <xdr:nvSpPr>
            <xdr:cNvPr id="9" name="Shape 4">
              <a:extLst>
                <a:ext uri="{FF2B5EF4-FFF2-40B4-BE49-F238E27FC236}">
                  <a16:creationId xmlns:a16="http://schemas.microsoft.com/office/drawing/2014/main" id="{00000000-0008-0000-2B00-000009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 name="Shape 206">
              <a:extLst>
                <a:ext uri="{FF2B5EF4-FFF2-40B4-BE49-F238E27FC236}">
                  <a16:creationId xmlns:a16="http://schemas.microsoft.com/office/drawing/2014/main" id="{00000000-0008-0000-2B00-0000CE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2B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2C00-000002000000}"/>
            </a:ext>
          </a:extLst>
        </xdr:cNvPr>
        <xdr:cNvGrpSpPr/>
      </xdr:nvGrpSpPr>
      <xdr:grpSpPr>
        <a:xfrm>
          <a:off x="342900" y="1628775"/>
          <a:ext cx="238125" cy="257175"/>
          <a:chOff x="5226938" y="3651413"/>
          <a:chExt cx="238125" cy="257175"/>
        </a:xfrm>
      </xdr:grpSpPr>
      <xdr:grpSp>
        <xdr:nvGrpSpPr>
          <xdr:cNvPr id="207" name="Shape 207">
            <a:extLst>
              <a:ext uri="{FF2B5EF4-FFF2-40B4-BE49-F238E27FC236}">
                <a16:creationId xmlns:a16="http://schemas.microsoft.com/office/drawing/2014/main" id="{00000000-0008-0000-2C00-0000CF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2C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 name="Shape 208">
              <a:extLst>
                <a:ext uri="{FF2B5EF4-FFF2-40B4-BE49-F238E27FC236}">
                  <a16:creationId xmlns:a16="http://schemas.microsoft.com/office/drawing/2014/main" id="{00000000-0008-0000-2C00-0000D0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C00-000003000000}"/>
            </a:ext>
          </a:extLst>
        </xdr:cNvPr>
        <xdr:cNvGrpSpPr/>
      </xdr:nvGrpSpPr>
      <xdr:grpSpPr>
        <a:xfrm>
          <a:off x="342900" y="1628775"/>
          <a:ext cx="238125" cy="257175"/>
          <a:chOff x="5226938" y="3651413"/>
          <a:chExt cx="238125" cy="257175"/>
        </a:xfrm>
      </xdr:grpSpPr>
      <xdr:grpSp>
        <xdr:nvGrpSpPr>
          <xdr:cNvPr id="209" name="Shape 209">
            <a:extLst>
              <a:ext uri="{FF2B5EF4-FFF2-40B4-BE49-F238E27FC236}">
                <a16:creationId xmlns:a16="http://schemas.microsoft.com/office/drawing/2014/main" id="{00000000-0008-0000-2C00-0000D1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C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 name="Shape 210">
              <a:extLst>
                <a:ext uri="{FF2B5EF4-FFF2-40B4-BE49-F238E27FC236}">
                  <a16:creationId xmlns:a16="http://schemas.microsoft.com/office/drawing/2014/main" id="{00000000-0008-0000-2C00-0000D2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6" name="Shape 2">
          <a:extLst>
            <a:ext uri="{FF2B5EF4-FFF2-40B4-BE49-F238E27FC236}">
              <a16:creationId xmlns:a16="http://schemas.microsoft.com/office/drawing/2014/main" id="{00000000-0008-0000-2C00-000006000000}"/>
            </a:ext>
          </a:extLst>
        </xdr:cNvPr>
        <xdr:cNvGrpSpPr/>
      </xdr:nvGrpSpPr>
      <xdr:grpSpPr>
        <a:xfrm>
          <a:off x="342900" y="1628775"/>
          <a:ext cx="238125" cy="257175"/>
          <a:chOff x="5226938" y="3651413"/>
          <a:chExt cx="238125" cy="257175"/>
        </a:xfrm>
      </xdr:grpSpPr>
      <xdr:grpSp>
        <xdr:nvGrpSpPr>
          <xdr:cNvPr id="211" name="Shape 211">
            <a:extLst>
              <a:ext uri="{FF2B5EF4-FFF2-40B4-BE49-F238E27FC236}">
                <a16:creationId xmlns:a16="http://schemas.microsoft.com/office/drawing/2014/main" id="{00000000-0008-0000-2C00-0000D3000000}"/>
              </a:ext>
            </a:extLst>
          </xdr:cNvPr>
          <xdr:cNvGrpSpPr/>
        </xdr:nvGrpSpPr>
        <xdr:grpSpPr>
          <a:xfrm>
            <a:off x="5226938" y="3651413"/>
            <a:ext cx="238125" cy="257175"/>
            <a:chOff x="5231700" y="3656175"/>
            <a:chExt cx="228600" cy="247650"/>
          </a:xfrm>
        </xdr:grpSpPr>
        <xdr:sp macro="" textlink="">
          <xdr:nvSpPr>
            <xdr:cNvPr id="7" name="Shape 4">
              <a:extLst>
                <a:ext uri="{FF2B5EF4-FFF2-40B4-BE49-F238E27FC236}">
                  <a16:creationId xmlns:a16="http://schemas.microsoft.com/office/drawing/2014/main" id="{00000000-0008-0000-2C00-000007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 name="Shape 212">
              <a:extLst>
                <a:ext uri="{FF2B5EF4-FFF2-40B4-BE49-F238E27FC236}">
                  <a16:creationId xmlns:a16="http://schemas.microsoft.com/office/drawing/2014/main" id="{00000000-0008-0000-2C00-0000D4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295275</xdr:colOff>
      <xdr:row>7</xdr:row>
      <xdr:rowOff>19050</xdr:rowOff>
    </xdr:from>
    <xdr:ext cx="1114425" cy="838200"/>
    <xdr:grpSp>
      <xdr:nvGrpSpPr>
        <xdr:cNvPr id="8" name="Shape 2">
          <a:extLst>
            <a:ext uri="{FF2B5EF4-FFF2-40B4-BE49-F238E27FC236}">
              <a16:creationId xmlns:a16="http://schemas.microsoft.com/office/drawing/2014/main" id="{00000000-0008-0000-2C00-000008000000}"/>
            </a:ext>
          </a:extLst>
        </xdr:cNvPr>
        <xdr:cNvGrpSpPr/>
      </xdr:nvGrpSpPr>
      <xdr:grpSpPr>
        <a:xfrm>
          <a:off x="295275" y="1666875"/>
          <a:ext cx="1114425" cy="838200"/>
          <a:chOff x="4788788" y="3360900"/>
          <a:chExt cx="1114425" cy="838200"/>
        </a:xfrm>
      </xdr:grpSpPr>
      <xdr:grpSp>
        <xdr:nvGrpSpPr>
          <xdr:cNvPr id="213" name="Shape 213">
            <a:extLst>
              <a:ext uri="{FF2B5EF4-FFF2-40B4-BE49-F238E27FC236}">
                <a16:creationId xmlns:a16="http://schemas.microsoft.com/office/drawing/2014/main" id="{00000000-0008-0000-2C00-0000D5000000}"/>
              </a:ext>
            </a:extLst>
          </xdr:cNvPr>
          <xdr:cNvGrpSpPr/>
        </xdr:nvGrpSpPr>
        <xdr:grpSpPr>
          <a:xfrm>
            <a:off x="4788788" y="3360900"/>
            <a:ext cx="1114425" cy="838200"/>
            <a:chOff x="4793550" y="3360900"/>
            <a:chExt cx="1104900" cy="838200"/>
          </a:xfrm>
        </xdr:grpSpPr>
        <xdr:sp macro="" textlink="">
          <xdr:nvSpPr>
            <xdr:cNvPr id="9" name="Shape 4">
              <a:extLst>
                <a:ext uri="{FF2B5EF4-FFF2-40B4-BE49-F238E27FC236}">
                  <a16:creationId xmlns:a16="http://schemas.microsoft.com/office/drawing/2014/main" id="{00000000-0008-0000-2C00-000009000000}"/>
                </a:ext>
              </a:extLst>
            </xdr:cNvPr>
            <xdr:cNvSpPr/>
          </xdr:nvSpPr>
          <xdr:spPr>
            <a:xfrm>
              <a:off x="4793550" y="3360900"/>
              <a:ext cx="1104900"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 name="Shape 214">
              <a:extLst>
                <a:ext uri="{FF2B5EF4-FFF2-40B4-BE49-F238E27FC236}">
                  <a16:creationId xmlns:a16="http://schemas.microsoft.com/office/drawing/2014/main" id="{00000000-0008-0000-2C00-0000D6000000}"/>
                </a:ext>
              </a:extLst>
            </xdr:cNvPr>
            <xdr:cNvCxnSpPr/>
          </xdr:nvCxnSpPr>
          <xdr:spPr>
            <a:xfrm flipH="1">
              <a:off x="4793550" y="3360900"/>
              <a:ext cx="1104900" cy="8382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2C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2D00-000002000000}"/>
            </a:ext>
          </a:extLst>
        </xdr:cNvPr>
        <xdr:cNvGrpSpPr/>
      </xdr:nvGrpSpPr>
      <xdr:grpSpPr>
        <a:xfrm>
          <a:off x="342900" y="1628775"/>
          <a:ext cx="238125" cy="257175"/>
          <a:chOff x="5226938" y="3651413"/>
          <a:chExt cx="238125" cy="257175"/>
        </a:xfrm>
      </xdr:grpSpPr>
      <xdr:grpSp>
        <xdr:nvGrpSpPr>
          <xdr:cNvPr id="215" name="Shape 215">
            <a:extLst>
              <a:ext uri="{FF2B5EF4-FFF2-40B4-BE49-F238E27FC236}">
                <a16:creationId xmlns:a16="http://schemas.microsoft.com/office/drawing/2014/main" id="{00000000-0008-0000-2D00-0000D7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2D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 name="Shape 216">
              <a:extLst>
                <a:ext uri="{FF2B5EF4-FFF2-40B4-BE49-F238E27FC236}">
                  <a16:creationId xmlns:a16="http://schemas.microsoft.com/office/drawing/2014/main" id="{00000000-0008-0000-2D00-0000D8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D00-000003000000}"/>
            </a:ext>
          </a:extLst>
        </xdr:cNvPr>
        <xdr:cNvGrpSpPr/>
      </xdr:nvGrpSpPr>
      <xdr:grpSpPr>
        <a:xfrm>
          <a:off x="342900" y="1628775"/>
          <a:ext cx="238125" cy="257175"/>
          <a:chOff x="5226938" y="3651413"/>
          <a:chExt cx="238125" cy="257175"/>
        </a:xfrm>
      </xdr:grpSpPr>
      <xdr:grpSp>
        <xdr:nvGrpSpPr>
          <xdr:cNvPr id="217" name="Shape 217">
            <a:extLst>
              <a:ext uri="{FF2B5EF4-FFF2-40B4-BE49-F238E27FC236}">
                <a16:creationId xmlns:a16="http://schemas.microsoft.com/office/drawing/2014/main" id="{00000000-0008-0000-2D00-0000D9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D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 name="Shape 218">
              <a:extLst>
                <a:ext uri="{FF2B5EF4-FFF2-40B4-BE49-F238E27FC236}">
                  <a16:creationId xmlns:a16="http://schemas.microsoft.com/office/drawing/2014/main" id="{00000000-0008-0000-2D00-0000DA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6" name="Shape 2">
          <a:extLst>
            <a:ext uri="{FF2B5EF4-FFF2-40B4-BE49-F238E27FC236}">
              <a16:creationId xmlns:a16="http://schemas.microsoft.com/office/drawing/2014/main" id="{00000000-0008-0000-2D00-000006000000}"/>
            </a:ext>
          </a:extLst>
        </xdr:cNvPr>
        <xdr:cNvGrpSpPr/>
      </xdr:nvGrpSpPr>
      <xdr:grpSpPr>
        <a:xfrm>
          <a:off x="342900" y="1628775"/>
          <a:ext cx="238125" cy="257175"/>
          <a:chOff x="5226938" y="3651413"/>
          <a:chExt cx="238125" cy="257175"/>
        </a:xfrm>
      </xdr:grpSpPr>
      <xdr:grpSp>
        <xdr:nvGrpSpPr>
          <xdr:cNvPr id="219" name="Shape 219">
            <a:extLst>
              <a:ext uri="{FF2B5EF4-FFF2-40B4-BE49-F238E27FC236}">
                <a16:creationId xmlns:a16="http://schemas.microsoft.com/office/drawing/2014/main" id="{00000000-0008-0000-2D00-0000DB000000}"/>
              </a:ext>
            </a:extLst>
          </xdr:cNvPr>
          <xdr:cNvGrpSpPr/>
        </xdr:nvGrpSpPr>
        <xdr:grpSpPr>
          <a:xfrm>
            <a:off x="5226938" y="3651413"/>
            <a:ext cx="238125" cy="257175"/>
            <a:chOff x="5231700" y="3656175"/>
            <a:chExt cx="228600" cy="247650"/>
          </a:xfrm>
        </xdr:grpSpPr>
        <xdr:sp macro="" textlink="">
          <xdr:nvSpPr>
            <xdr:cNvPr id="7" name="Shape 4">
              <a:extLst>
                <a:ext uri="{FF2B5EF4-FFF2-40B4-BE49-F238E27FC236}">
                  <a16:creationId xmlns:a16="http://schemas.microsoft.com/office/drawing/2014/main" id="{00000000-0008-0000-2D00-000007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 name="Shape 220">
              <a:extLst>
                <a:ext uri="{FF2B5EF4-FFF2-40B4-BE49-F238E27FC236}">
                  <a16:creationId xmlns:a16="http://schemas.microsoft.com/office/drawing/2014/main" id="{00000000-0008-0000-2D00-0000DC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295275</xdr:colOff>
      <xdr:row>7</xdr:row>
      <xdr:rowOff>19050</xdr:rowOff>
    </xdr:from>
    <xdr:ext cx="1114425" cy="838200"/>
    <xdr:grpSp>
      <xdr:nvGrpSpPr>
        <xdr:cNvPr id="8" name="Shape 2">
          <a:extLst>
            <a:ext uri="{FF2B5EF4-FFF2-40B4-BE49-F238E27FC236}">
              <a16:creationId xmlns:a16="http://schemas.microsoft.com/office/drawing/2014/main" id="{00000000-0008-0000-2D00-000008000000}"/>
            </a:ext>
          </a:extLst>
        </xdr:cNvPr>
        <xdr:cNvGrpSpPr/>
      </xdr:nvGrpSpPr>
      <xdr:grpSpPr>
        <a:xfrm>
          <a:off x="295275" y="1666875"/>
          <a:ext cx="1114425" cy="838200"/>
          <a:chOff x="4788788" y="3360900"/>
          <a:chExt cx="1114425" cy="838200"/>
        </a:xfrm>
      </xdr:grpSpPr>
      <xdr:grpSp>
        <xdr:nvGrpSpPr>
          <xdr:cNvPr id="221" name="Shape 221">
            <a:extLst>
              <a:ext uri="{FF2B5EF4-FFF2-40B4-BE49-F238E27FC236}">
                <a16:creationId xmlns:a16="http://schemas.microsoft.com/office/drawing/2014/main" id="{00000000-0008-0000-2D00-0000DD000000}"/>
              </a:ext>
            </a:extLst>
          </xdr:cNvPr>
          <xdr:cNvGrpSpPr/>
        </xdr:nvGrpSpPr>
        <xdr:grpSpPr>
          <a:xfrm>
            <a:off x="4788788" y="3360900"/>
            <a:ext cx="1114425" cy="838200"/>
            <a:chOff x="4793550" y="3360900"/>
            <a:chExt cx="1104900" cy="838200"/>
          </a:xfrm>
        </xdr:grpSpPr>
        <xdr:sp macro="" textlink="">
          <xdr:nvSpPr>
            <xdr:cNvPr id="9" name="Shape 4">
              <a:extLst>
                <a:ext uri="{FF2B5EF4-FFF2-40B4-BE49-F238E27FC236}">
                  <a16:creationId xmlns:a16="http://schemas.microsoft.com/office/drawing/2014/main" id="{00000000-0008-0000-2D00-000009000000}"/>
                </a:ext>
              </a:extLst>
            </xdr:cNvPr>
            <xdr:cNvSpPr/>
          </xdr:nvSpPr>
          <xdr:spPr>
            <a:xfrm>
              <a:off x="4793550" y="3360900"/>
              <a:ext cx="1104900"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2" name="Shape 222">
              <a:extLst>
                <a:ext uri="{FF2B5EF4-FFF2-40B4-BE49-F238E27FC236}">
                  <a16:creationId xmlns:a16="http://schemas.microsoft.com/office/drawing/2014/main" id="{00000000-0008-0000-2D00-0000DE000000}"/>
                </a:ext>
              </a:extLst>
            </xdr:cNvPr>
            <xdr:cNvCxnSpPr/>
          </xdr:nvCxnSpPr>
          <xdr:spPr>
            <a:xfrm flipH="1">
              <a:off x="4793550" y="3360900"/>
              <a:ext cx="1104900" cy="8382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2D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2E00-000002000000}"/>
            </a:ext>
          </a:extLst>
        </xdr:cNvPr>
        <xdr:cNvGrpSpPr/>
      </xdr:nvGrpSpPr>
      <xdr:grpSpPr>
        <a:xfrm>
          <a:off x="342900" y="1628775"/>
          <a:ext cx="238125" cy="257175"/>
          <a:chOff x="5226938" y="3651413"/>
          <a:chExt cx="238125" cy="257175"/>
        </a:xfrm>
      </xdr:grpSpPr>
      <xdr:grpSp>
        <xdr:nvGrpSpPr>
          <xdr:cNvPr id="223" name="Shape 223">
            <a:extLst>
              <a:ext uri="{FF2B5EF4-FFF2-40B4-BE49-F238E27FC236}">
                <a16:creationId xmlns:a16="http://schemas.microsoft.com/office/drawing/2014/main" id="{00000000-0008-0000-2E00-0000DF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2E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4" name="Shape 224">
              <a:extLst>
                <a:ext uri="{FF2B5EF4-FFF2-40B4-BE49-F238E27FC236}">
                  <a16:creationId xmlns:a16="http://schemas.microsoft.com/office/drawing/2014/main" id="{00000000-0008-0000-2E00-0000E0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E00-000003000000}"/>
            </a:ext>
          </a:extLst>
        </xdr:cNvPr>
        <xdr:cNvGrpSpPr/>
      </xdr:nvGrpSpPr>
      <xdr:grpSpPr>
        <a:xfrm>
          <a:off x="342900" y="1628775"/>
          <a:ext cx="238125" cy="257175"/>
          <a:chOff x="5226938" y="3651413"/>
          <a:chExt cx="238125" cy="257175"/>
        </a:xfrm>
      </xdr:grpSpPr>
      <xdr:grpSp>
        <xdr:nvGrpSpPr>
          <xdr:cNvPr id="225" name="Shape 225">
            <a:extLst>
              <a:ext uri="{FF2B5EF4-FFF2-40B4-BE49-F238E27FC236}">
                <a16:creationId xmlns:a16="http://schemas.microsoft.com/office/drawing/2014/main" id="{00000000-0008-0000-2E00-0000E1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E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6" name="Shape 226">
              <a:extLst>
                <a:ext uri="{FF2B5EF4-FFF2-40B4-BE49-F238E27FC236}">
                  <a16:creationId xmlns:a16="http://schemas.microsoft.com/office/drawing/2014/main" id="{00000000-0008-0000-2E00-0000E2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6" name="Shape 2">
          <a:extLst>
            <a:ext uri="{FF2B5EF4-FFF2-40B4-BE49-F238E27FC236}">
              <a16:creationId xmlns:a16="http://schemas.microsoft.com/office/drawing/2014/main" id="{00000000-0008-0000-2E00-000006000000}"/>
            </a:ext>
          </a:extLst>
        </xdr:cNvPr>
        <xdr:cNvGrpSpPr/>
      </xdr:nvGrpSpPr>
      <xdr:grpSpPr>
        <a:xfrm>
          <a:off x="342900" y="1628775"/>
          <a:ext cx="238125" cy="257175"/>
          <a:chOff x="5226938" y="3651413"/>
          <a:chExt cx="238125" cy="257175"/>
        </a:xfrm>
      </xdr:grpSpPr>
      <xdr:grpSp>
        <xdr:nvGrpSpPr>
          <xdr:cNvPr id="227" name="Shape 227">
            <a:extLst>
              <a:ext uri="{FF2B5EF4-FFF2-40B4-BE49-F238E27FC236}">
                <a16:creationId xmlns:a16="http://schemas.microsoft.com/office/drawing/2014/main" id="{00000000-0008-0000-2E00-0000E3000000}"/>
              </a:ext>
            </a:extLst>
          </xdr:cNvPr>
          <xdr:cNvGrpSpPr/>
        </xdr:nvGrpSpPr>
        <xdr:grpSpPr>
          <a:xfrm>
            <a:off x="5226938" y="3651413"/>
            <a:ext cx="238125" cy="257175"/>
            <a:chOff x="5231700" y="3656175"/>
            <a:chExt cx="228600" cy="247650"/>
          </a:xfrm>
        </xdr:grpSpPr>
        <xdr:sp macro="" textlink="">
          <xdr:nvSpPr>
            <xdr:cNvPr id="7" name="Shape 4">
              <a:extLst>
                <a:ext uri="{FF2B5EF4-FFF2-40B4-BE49-F238E27FC236}">
                  <a16:creationId xmlns:a16="http://schemas.microsoft.com/office/drawing/2014/main" id="{00000000-0008-0000-2E00-000007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8" name="Shape 228">
              <a:extLst>
                <a:ext uri="{FF2B5EF4-FFF2-40B4-BE49-F238E27FC236}">
                  <a16:creationId xmlns:a16="http://schemas.microsoft.com/office/drawing/2014/main" id="{00000000-0008-0000-2E00-0000E4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295275</xdr:colOff>
      <xdr:row>7</xdr:row>
      <xdr:rowOff>19050</xdr:rowOff>
    </xdr:from>
    <xdr:ext cx="1114425" cy="838200"/>
    <xdr:grpSp>
      <xdr:nvGrpSpPr>
        <xdr:cNvPr id="8" name="Shape 2">
          <a:extLst>
            <a:ext uri="{FF2B5EF4-FFF2-40B4-BE49-F238E27FC236}">
              <a16:creationId xmlns:a16="http://schemas.microsoft.com/office/drawing/2014/main" id="{00000000-0008-0000-2E00-000008000000}"/>
            </a:ext>
          </a:extLst>
        </xdr:cNvPr>
        <xdr:cNvGrpSpPr/>
      </xdr:nvGrpSpPr>
      <xdr:grpSpPr>
        <a:xfrm>
          <a:off x="295275" y="1666875"/>
          <a:ext cx="1114425" cy="838200"/>
          <a:chOff x="4788788" y="3360900"/>
          <a:chExt cx="1114425" cy="838200"/>
        </a:xfrm>
      </xdr:grpSpPr>
      <xdr:grpSp>
        <xdr:nvGrpSpPr>
          <xdr:cNvPr id="229" name="Shape 229">
            <a:extLst>
              <a:ext uri="{FF2B5EF4-FFF2-40B4-BE49-F238E27FC236}">
                <a16:creationId xmlns:a16="http://schemas.microsoft.com/office/drawing/2014/main" id="{00000000-0008-0000-2E00-0000E5000000}"/>
              </a:ext>
            </a:extLst>
          </xdr:cNvPr>
          <xdr:cNvGrpSpPr/>
        </xdr:nvGrpSpPr>
        <xdr:grpSpPr>
          <a:xfrm>
            <a:off x="4788788" y="3360900"/>
            <a:ext cx="1114425" cy="838200"/>
            <a:chOff x="4793550" y="3360900"/>
            <a:chExt cx="1104900" cy="838200"/>
          </a:xfrm>
        </xdr:grpSpPr>
        <xdr:sp macro="" textlink="">
          <xdr:nvSpPr>
            <xdr:cNvPr id="9" name="Shape 4">
              <a:extLst>
                <a:ext uri="{FF2B5EF4-FFF2-40B4-BE49-F238E27FC236}">
                  <a16:creationId xmlns:a16="http://schemas.microsoft.com/office/drawing/2014/main" id="{00000000-0008-0000-2E00-000009000000}"/>
                </a:ext>
              </a:extLst>
            </xdr:cNvPr>
            <xdr:cNvSpPr/>
          </xdr:nvSpPr>
          <xdr:spPr>
            <a:xfrm>
              <a:off x="4793550" y="3360900"/>
              <a:ext cx="1104900"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0" name="Shape 230">
              <a:extLst>
                <a:ext uri="{FF2B5EF4-FFF2-40B4-BE49-F238E27FC236}">
                  <a16:creationId xmlns:a16="http://schemas.microsoft.com/office/drawing/2014/main" id="{00000000-0008-0000-2E00-0000E6000000}"/>
                </a:ext>
              </a:extLst>
            </xdr:cNvPr>
            <xdr:cNvCxnSpPr/>
          </xdr:nvCxnSpPr>
          <xdr:spPr>
            <a:xfrm flipH="1">
              <a:off x="4793550" y="3360900"/>
              <a:ext cx="1104900" cy="8382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2E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dr:oneCellAnchor>
    <xdr:from>
      <xdr:col>0</xdr:col>
      <xdr:colOff>342900</xdr:colOff>
      <xdr:row>6</xdr:row>
      <xdr:rowOff>180975</xdr:rowOff>
    </xdr:from>
    <xdr:ext cx="238125" cy="257175"/>
    <xdr:grpSp>
      <xdr:nvGrpSpPr>
        <xdr:cNvPr id="2" name="Shape 2">
          <a:extLst>
            <a:ext uri="{FF2B5EF4-FFF2-40B4-BE49-F238E27FC236}">
              <a16:creationId xmlns:a16="http://schemas.microsoft.com/office/drawing/2014/main" id="{00000000-0008-0000-2F00-000002000000}"/>
            </a:ext>
          </a:extLst>
        </xdr:cNvPr>
        <xdr:cNvGrpSpPr/>
      </xdr:nvGrpSpPr>
      <xdr:grpSpPr>
        <a:xfrm>
          <a:off x="342900" y="1628775"/>
          <a:ext cx="238125" cy="257175"/>
          <a:chOff x="5226938" y="3651413"/>
          <a:chExt cx="238125" cy="257175"/>
        </a:xfrm>
      </xdr:grpSpPr>
      <xdr:grpSp>
        <xdr:nvGrpSpPr>
          <xdr:cNvPr id="231" name="Shape 231">
            <a:extLst>
              <a:ext uri="{FF2B5EF4-FFF2-40B4-BE49-F238E27FC236}">
                <a16:creationId xmlns:a16="http://schemas.microsoft.com/office/drawing/2014/main" id="{00000000-0008-0000-2F00-0000E7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2F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2" name="Shape 232">
              <a:extLst>
                <a:ext uri="{FF2B5EF4-FFF2-40B4-BE49-F238E27FC236}">
                  <a16:creationId xmlns:a16="http://schemas.microsoft.com/office/drawing/2014/main" id="{00000000-0008-0000-2F00-0000E8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3" name="Shape 2">
          <a:extLst>
            <a:ext uri="{FF2B5EF4-FFF2-40B4-BE49-F238E27FC236}">
              <a16:creationId xmlns:a16="http://schemas.microsoft.com/office/drawing/2014/main" id="{00000000-0008-0000-2F00-000003000000}"/>
            </a:ext>
          </a:extLst>
        </xdr:cNvPr>
        <xdr:cNvGrpSpPr/>
      </xdr:nvGrpSpPr>
      <xdr:grpSpPr>
        <a:xfrm>
          <a:off x="342900" y="1628775"/>
          <a:ext cx="238125" cy="257175"/>
          <a:chOff x="5226938" y="3651413"/>
          <a:chExt cx="238125" cy="257175"/>
        </a:xfrm>
      </xdr:grpSpPr>
      <xdr:grpSp>
        <xdr:nvGrpSpPr>
          <xdr:cNvPr id="233" name="Shape 233">
            <a:extLst>
              <a:ext uri="{FF2B5EF4-FFF2-40B4-BE49-F238E27FC236}">
                <a16:creationId xmlns:a16="http://schemas.microsoft.com/office/drawing/2014/main" id="{00000000-0008-0000-2F00-0000E9000000}"/>
              </a:ext>
            </a:extLst>
          </xdr:cNvPr>
          <xdr:cNvGrpSpPr/>
        </xdr:nvGrpSpPr>
        <xdr:grpSpPr>
          <a:xfrm>
            <a:off x="5226938" y="3651413"/>
            <a:ext cx="238125" cy="257175"/>
            <a:chOff x="5231700" y="3656175"/>
            <a:chExt cx="228600" cy="247650"/>
          </a:xfrm>
        </xdr:grpSpPr>
        <xdr:sp macro="" textlink="">
          <xdr:nvSpPr>
            <xdr:cNvPr id="5" name="Shape 4">
              <a:extLst>
                <a:ext uri="{FF2B5EF4-FFF2-40B4-BE49-F238E27FC236}">
                  <a16:creationId xmlns:a16="http://schemas.microsoft.com/office/drawing/2014/main" id="{00000000-0008-0000-2F00-000005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4" name="Shape 234">
              <a:extLst>
                <a:ext uri="{FF2B5EF4-FFF2-40B4-BE49-F238E27FC236}">
                  <a16:creationId xmlns:a16="http://schemas.microsoft.com/office/drawing/2014/main" id="{00000000-0008-0000-2F00-0000EA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6</xdr:row>
      <xdr:rowOff>180975</xdr:rowOff>
    </xdr:from>
    <xdr:ext cx="238125" cy="257175"/>
    <xdr:grpSp>
      <xdr:nvGrpSpPr>
        <xdr:cNvPr id="6" name="Shape 2">
          <a:extLst>
            <a:ext uri="{FF2B5EF4-FFF2-40B4-BE49-F238E27FC236}">
              <a16:creationId xmlns:a16="http://schemas.microsoft.com/office/drawing/2014/main" id="{00000000-0008-0000-2F00-000006000000}"/>
            </a:ext>
          </a:extLst>
        </xdr:cNvPr>
        <xdr:cNvGrpSpPr/>
      </xdr:nvGrpSpPr>
      <xdr:grpSpPr>
        <a:xfrm>
          <a:off x="342900" y="1628775"/>
          <a:ext cx="238125" cy="257175"/>
          <a:chOff x="5226938" y="3651413"/>
          <a:chExt cx="238125" cy="257175"/>
        </a:xfrm>
      </xdr:grpSpPr>
      <xdr:grpSp>
        <xdr:nvGrpSpPr>
          <xdr:cNvPr id="235" name="Shape 235">
            <a:extLst>
              <a:ext uri="{FF2B5EF4-FFF2-40B4-BE49-F238E27FC236}">
                <a16:creationId xmlns:a16="http://schemas.microsoft.com/office/drawing/2014/main" id="{00000000-0008-0000-2F00-0000EB000000}"/>
              </a:ext>
            </a:extLst>
          </xdr:cNvPr>
          <xdr:cNvGrpSpPr/>
        </xdr:nvGrpSpPr>
        <xdr:grpSpPr>
          <a:xfrm>
            <a:off x="5226938" y="3651413"/>
            <a:ext cx="238125" cy="257175"/>
            <a:chOff x="5231700" y="3656175"/>
            <a:chExt cx="228600" cy="247650"/>
          </a:xfrm>
        </xdr:grpSpPr>
        <xdr:sp macro="" textlink="">
          <xdr:nvSpPr>
            <xdr:cNvPr id="7" name="Shape 4">
              <a:extLst>
                <a:ext uri="{FF2B5EF4-FFF2-40B4-BE49-F238E27FC236}">
                  <a16:creationId xmlns:a16="http://schemas.microsoft.com/office/drawing/2014/main" id="{00000000-0008-0000-2F00-000007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6" name="Shape 236">
              <a:extLst>
                <a:ext uri="{FF2B5EF4-FFF2-40B4-BE49-F238E27FC236}">
                  <a16:creationId xmlns:a16="http://schemas.microsoft.com/office/drawing/2014/main" id="{00000000-0008-0000-2F00-0000EC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295275</xdr:colOff>
      <xdr:row>7</xdr:row>
      <xdr:rowOff>19050</xdr:rowOff>
    </xdr:from>
    <xdr:ext cx="1114425" cy="838200"/>
    <xdr:grpSp>
      <xdr:nvGrpSpPr>
        <xdr:cNvPr id="8" name="Shape 2">
          <a:extLst>
            <a:ext uri="{FF2B5EF4-FFF2-40B4-BE49-F238E27FC236}">
              <a16:creationId xmlns:a16="http://schemas.microsoft.com/office/drawing/2014/main" id="{00000000-0008-0000-2F00-000008000000}"/>
            </a:ext>
          </a:extLst>
        </xdr:cNvPr>
        <xdr:cNvGrpSpPr/>
      </xdr:nvGrpSpPr>
      <xdr:grpSpPr>
        <a:xfrm>
          <a:off x="295275" y="1666875"/>
          <a:ext cx="1114425" cy="838200"/>
          <a:chOff x="4788788" y="3360900"/>
          <a:chExt cx="1114425" cy="838200"/>
        </a:xfrm>
      </xdr:grpSpPr>
      <xdr:grpSp>
        <xdr:nvGrpSpPr>
          <xdr:cNvPr id="237" name="Shape 237">
            <a:extLst>
              <a:ext uri="{FF2B5EF4-FFF2-40B4-BE49-F238E27FC236}">
                <a16:creationId xmlns:a16="http://schemas.microsoft.com/office/drawing/2014/main" id="{00000000-0008-0000-2F00-0000ED000000}"/>
              </a:ext>
            </a:extLst>
          </xdr:cNvPr>
          <xdr:cNvGrpSpPr/>
        </xdr:nvGrpSpPr>
        <xdr:grpSpPr>
          <a:xfrm>
            <a:off x="4788788" y="3360900"/>
            <a:ext cx="1114425" cy="838200"/>
            <a:chOff x="4793550" y="3360900"/>
            <a:chExt cx="1104900" cy="838200"/>
          </a:xfrm>
        </xdr:grpSpPr>
        <xdr:sp macro="" textlink="">
          <xdr:nvSpPr>
            <xdr:cNvPr id="9" name="Shape 4">
              <a:extLst>
                <a:ext uri="{FF2B5EF4-FFF2-40B4-BE49-F238E27FC236}">
                  <a16:creationId xmlns:a16="http://schemas.microsoft.com/office/drawing/2014/main" id="{00000000-0008-0000-2F00-000009000000}"/>
                </a:ext>
              </a:extLst>
            </xdr:cNvPr>
            <xdr:cNvSpPr/>
          </xdr:nvSpPr>
          <xdr:spPr>
            <a:xfrm>
              <a:off x="4793550" y="3360900"/>
              <a:ext cx="1104900" cy="8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8" name="Shape 238">
              <a:extLst>
                <a:ext uri="{FF2B5EF4-FFF2-40B4-BE49-F238E27FC236}">
                  <a16:creationId xmlns:a16="http://schemas.microsoft.com/office/drawing/2014/main" id="{00000000-0008-0000-2F00-0000EE000000}"/>
                </a:ext>
              </a:extLst>
            </xdr:cNvPr>
            <xdr:cNvCxnSpPr/>
          </xdr:nvCxnSpPr>
          <xdr:spPr>
            <a:xfrm flipH="1">
              <a:off x="4793550" y="3360900"/>
              <a:ext cx="1104900" cy="8382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10" name="image1.jpg">
          <a:extLst>
            <a:ext uri="{FF2B5EF4-FFF2-40B4-BE49-F238E27FC236}">
              <a16:creationId xmlns:a16="http://schemas.microsoft.com/office/drawing/2014/main" id="{00000000-0008-0000-2F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dr:oneCellAnchor>
    <xdr:from>
      <xdr:col>0</xdr:col>
      <xdr:colOff>342900</xdr:colOff>
      <xdr:row>7</xdr:row>
      <xdr:rowOff>180975</xdr:rowOff>
    </xdr:from>
    <xdr:ext cx="238125" cy="257175"/>
    <xdr:grpSp>
      <xdr:nvGrpSpPr>
        <xdr:cNvPr id="2" name="Shape 2">
          <a:extLst>
            <a:ext uri="{FF2B5EF4-FFF2-40B4-BE49-F238E27FC236}">
              <a16:creationId xmlns:a16="http://schemas.microsoft.com/office/drawing/2014/main" id="{00000000-0008-0000-3000-000002000000}"/>
            </a:ext>
          </a:extLst>
        </xdr:cNvPr>
        <xdr:cNvGrpSpPr/>
      </xdr:nvGrpSpPr>
      <xdr:grpSpPr>
        <a:xfrm>
          <a:off x="342900" y="1819275"/>
          <a:ext cx="238125" cy="257175"/>
          <a:chOff x="5226938" y="3651413"/>
          <a:chExt cx="238125" cy="257175"/>
        </a:xfrm>
      </xdr:grpSpPr>
      <xdr:grpSp>
        <xdr:nvGrpSpPr>
          <xdr:cNvPr id="239" name="Shape 239">
            <a:extLst>
              <a:ext uri="{FF2B5EF4-FFF2-40B4-BE49-F238E27FC236}">
                <a16:creationId xmlns:a16="http://schemas.microsoft.com/office/drawing/2014/main" id="{00000000-0008-0000-3000-0000EF000000}"/>
              </a:ext>
            </a:extLst>
          </xdr:cNvPr>
          <xdr:cNvGrpSpPr/>
        </xdr:nvGrpSpPr>
        <xdr:grpSpPr>
          <a:xfrm>
            <a:off x="5226938" y="3651413"/>
            <a:ext cx="238125" cy="257175"/>
            <a:chOff x="5231700" y="3656175"/>
            <a:chExt cx="228600" cy="247650"/>
          </a:xfrm>
        </xdr:grpSpPr>
        <xdr:sp macro="" textlink="">
          <xdr:nvSpPr>
            <xdr:cNvPr id="4" name="Shape 4">
              <a:extLst>
                <a:ext uri="{FF2B5EF4-FFF2-40B4-BE49-F238E27FC236}">
                  <a16:creationId xmlns:a16="http://schemas.microsoft.com/office/drawing/2014/main" id="{00000000-0008-0000-3000-000004000000}"/>
                </a:ext>
              </a:extLst>
            </xdr:cNvPr>
            <xdr:cNvSpPr/>
          </xdr:nvSpPr>
          <xdr:spPr>
            <a:xfrm>
              <a:off x="5231700" y="3656175"/>
              <a:ext cx="2286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0" name="Shape 240">
              <a:extLst>
                <a:ext uri="{FF2B5EF4-FFF2-40B4-BE49-F238E27FC236}">
                  <a16:creationId xmlns:a16="http://schemas.microsoft.com/office/drawing/2014/main" id="{00000000-0008-0000-3000-0000F0000000}"/>
                </a:ext>
              </a:extLst>
            </xdr:cNvPr>
            <xdr:cNvCxnSpPr/>
          </xdr:nvCxnSpPr>
          <xdr:spPr>
            <a:xfrm flipH="1">
              <a:off x="5231700" y="3656175"/>
              <a:ext cx="228600" cy="2476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342900</xdr:colOff>
      <xdr:row>7</xdr:row>
      <xdr:rowOff>171450</xdr:rowOff>
    </xdr:from>
    <xdr:ext cx="628650" cy="266700"/>
    <xdr:grpSp>
      <xdr:nvGrpSpPr>
        <xdr:cNvPr id="3" name="Shape 2">
          <a:extLst>
            <a:ext uri="{FF2B5EF4-FFF2-40B4-BE49-F238E27FC236}">
              <a16:creationId xmlns:a16="http://schemas.microsoft.com/office/drawing/2014/main" id="{00000000-0008-0000-3000-000003000000}"/>
            </a:ext>
          </a:extLst>
        </xdr:cNvPr>
        <xdr:cNvGrpSpPr/>
      </xdr:nvGrpSpPr>
      <xdr:grpSpPr>
        <a:xfrm>
          <a:off x="342900" y="1809750"/>
          <a:ext cx="628650" cy="266700"/>
          <a:chOff x="5031675" y="3646650"/>
          <a:chExt cx="628650" cy="266700"/>
        </a:xfrm>
      </xdr:grpSpPr>
      <xdr:grpSp>
        <xdr:nvGrpSpPr>
          <xdr:cNvPr id="241" name="Shape 241">
            <a:extLst>
              <a:ext uri="{FF2B5EF4-FFF2-40B4-BE49-F238E27FC236}">
                <a16:creationId xmlns:a16="http://schemas.microsoft.com/office/drawing/2014/main" id="{00000000-0008-0000-3000-0000F1000000}"/>
              </a:ext>
            </a:extLst>
          </xdr:cNvPr>
          <xdr:cNvGrpSpPr/>
        </xdr:nvGrpSpPr>
        <xdr:grpSpPr>
          <a:xfrm>
            <a:off x="5031675" y="3646650"/>
            <a:ext cx="628650" cy="266700"/>
            <a:chOff x="5036438" y="3651413"/>
            <a:chExt cx="619125" cy="257175"/>
          </a:xfrm>
        </xdr:grpSpPr>
        <xdr:sp macro="" textlink="">
          <xdr:nvSpPr>
            <xdr:cNvPr id="5" name="Shape 4">
              <a:extLst>
                <a:ext uri="{FF2B5EF4-FFF2-40B4-BE49-F238E27FC236}">
                  <a16:creationId xmlns:a16="http://schemas.microsoft.com/office/drawing/2014/main" id="{00000000-0008-0000-3000-000005000000}"/>
                </a:ext>
              </a:extLst>
            </xdr:cNvPr>
            <xdr:cNvSpPr/>
          </xdr:nvSpPr>
          <xdr:spPr>
            <a:xfrm>
              <a:off x="5036438" y="3651413"/>
              <a:ext cx="619125"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2" name="Shape 242">
              <a:extLst>
                <a:ext uri="{FF2B5EF4-FFF2-40B4-BE49-F238E27FC236}">
                  <a16:creationId xmlns:a16="http://schemas.microsoft.com/office/drawing/2014/main" id="{00000000-0008-0000-3000-0000F2000000}"/>
                </a:ext>
              </a:extLst>
            </xdr:cNvPr>
            <xdr:cNvCxnSpPr/>
          </xdr:nvCxnSpPr>
          <xdr:spPr>
            <a:xfrm flipH="1">
              <a:off x="5036438" y="3651413"/>
              <a:ext cx="619125" cy="2571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8</xdr:row>
      <xdr:rowOff>9525</xdr:rowOff>
    </xdr:from>
    <xdr:ext cx="1171575" cy="219075"/>
    <xdr:grpSp>
      <xdr:nvGrpSpPr>
        <xdr:cNvPr id="6" name="Shape 2">
          <a:extLst>
            <a:ext uri="{FF2B5EF4-FFF2-40B4-BE49-F238E27FC236}">
              <a16:creationId xmlns:a16="http://schemas.microsoft.com/office/drawing/2014/main" id="{00000000-0008-0000-3000-000006000000}"/>
            </a:ext>
          </a:extLst>
        </xdr:cNvPr>
        <xdr:cNvGrpSpPr/>
      </xdr:nvGrpSpPr>
      <xdr:grpSpPr>
        <a:xfrm>
          <a:off x="428625" y="1847850"/>
          <a:ext cx="1171575" cy="219075"/>
          <a:chOff x="4760213" y="3670463"/>
          <a:chExt cx="1171575" cy="219075"/>
        </a:xfrm>
      </xdr:grpSpPr>
      <xdr:grpSp>
        <xdr:nvGrpSpPr>
          <xdr:cNvPr id="243" name="Shape 243">
            <a:extLst>
              <a:ext uri="{FF2B5EF4-FFF2-40B4-BE49-F238E27FC236}">
                <a16:creationId xmlns:a16="http://schemas.microsoft.com/office/drawing/2014/main" id="{00000000-0008-0000-3000-0000F3000000}"/>
              </a:ext>
            </a:extLst>
          </xdr:cNvPr>
          <xdr:cNvGrpSpPr/>
        </xdr:nvGrpSpPr>
        <xdr:grpSpPr>
          <a:xfrm>
            <a:off x="4760213" y="3670463"/>
            <a:ext cx="1171575" cy="219075"/>
            <a:chOff x="4764975" y="3675225"/>
            <a:chExt cx="1162050" cy="209550"/>
          </a:xfrm>
        </xdr:grpSpPr>
        <xdr:sp macro="" textlink="">
          <xdr:nvSpPr>
            <xdr:cNvPr id="7" name="Shape 4">
              <a:extLst>
                <a:ext uri="{FF2B5EF4-FFF2-40B4-BE49-F238E27FC236}">
                  <a16:creationId xmlns:a16="http://schemas.microsoft.com/office/drawing/2014/main" id="{00000000-0008-0000-3000-000007000000}"/>
                </a:ext>
              </a:extLst>
            </xdr:cNvPr>
            <xdr:cNvSpPr/>
          </xdr:nvSpPr>
          <xdr:spPr>
            <a:xfrm>
              <a:off x="4764975" y="3675225"/>
              <a:ext cx="116205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4" name="Shape 244">
              <a:extLst>
                <a:ext uri="{FF2B5EF4-FFF2-40B4-BE49-F238E27FC236}">
                  <a16:creationId xmlns:a16="http://schemas.microsoft.com/office/drawing/2014/main" id="{00000000-0008-0000-3000-0000F4000000}"/>
                </a:ext>
              </a:extLst>
            </xdr:cNvPr>
            <xdr:cNvCxnSpPr/>
          </xdr:nvCxnSpPr>
          <xdr:spPr>
            <a:xfrm flipH="1">
              <a:off x="4764975" y="3675225"/>
              <a:ext cx="1162050"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8" name="image1.jpg">
          <a:extLst>
            <a:ext uri="{FF2B5EF4-FFF2-40B4-BE49-F238E27FC236}">
              <a16:creationId xmlns:a16="http://schemas.microsoft.com/office/drawing/2014/main" id="{00000000-0008-0000-30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dr:oneCellAnchor>
    <xdr:from>
      <xdr:col>0</xdr:col>
      <xdr:colOff>342900</xdr:colOff>
      <xdr:row>8</xdr:row>
      <xdr:rowOff>171450</xdr:rowOff>
    </xdr:from>
    <xdr:ext cx="628650" cy="266700"/>
    <xdr:grpSp>
      <xdr:nvGrpSpPr>
        <xdr:cNvPr id="2" name="Shape 2">
          <a:extLst>
            <a:ext uri="{FF2B5EF4-FFF2-40B4-BE49-F238E27FC236}">
              <a16:creationId xmlns:a16="http://schemas.microsoft.com/office/drawing/2014/main" id="{00000000-0008-0000-3100-000002000000}"/>
            </a:ext>
          </a:extLst>
        </xdr:cNvPr>
        <xdr:cNvGrpSpPr/>
      </xdr:nvGrpSpPr>
      <xdr:grpSpPr>
        <a:xfrm>
          <a:off x="342900" y="2000250"/>
          <a:ext cx="628650" cy="266700"/>
          <a:chOff x="5031675" y="3646650"/>
          <a:chExt cx="628650" cy="266700"/>
        </a:xfrm>
      </xdr:grpSpPr>
      <xdr:grpSp>
        <xdr:nvGrpSpPr>
          <xdr:cNvPr id="245" name="Shape 245">
            <a:extLst>
              <a:ext uri="{FF2B5EF4-FFF2-40B4-BE49-F238E27FC236}">
                <a16:creationId xmlns:a16="http://schemas.microsoft.com/office/drawing/2014/main" id="{00000000-0008-0000-3100-0000F5000000}"/>
              </a:ext>
            </a:extLst>
          </xdr:cNvPr>
          <xdr:cNvGrpSpPr/>
        </xdr:nvGrpSpPr>
        <xdr:grpSpPr>
          <a:xfrm>
            <a:off x="5031675" y="3646650"/>
            <a:ext cx="628650" cy="266700"/>
            <a:chOff x="5036438" y="3651413"/>
            <a:chExt cx="619125" cy="257175"/>
          </a:xfrm>
        </xdr:grpSpPr>
        <xdr:sp macro="" textlink="">
          <xdr:nvSpPr>
            <xdr:cNvPr id="4" name="Shape 4">
              <a:extLst>
                <a:ext uri="{FF2B5EF4-FFF2-40B4-BE49-F238E27FC236}">
                  <a16:creationId xmlns:a16="http://schemas.microsoft.com/office/drawing/2014/main" id="{00000000-0008-0000-3100-000004000000}"/>
                </a:ext>
              </a:extLst>
            </xdr:cNvPr>
            <xdr:cNvSpPr/>
          </xdr:nvSpPr>
          <xdr:spPr>
            <a:xfrm>
              <a:off x="5036438" y="3651413"/>
              <a:ext cx="619125"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6" name="Shape 246">
              <a:extLst>
                <a:ext uri="{FF2B5EF4-FFF2-40B4-BE49-F238E27FC236}">
                  <a16:creationId xmlns:a16="http://schemas.microsoft.com/office/drawing/2014/main" id="{00000000-0008-0000-3100-0000F6000000}"/>
                </a:ext>
              </a:extLst>
            </xdr:cNvPr>
            <xdr:cNvCxnSpPr/>
          </xdr:nvCxnSpPr>
          <xdr:spPr>
            <a:xfrm flipH="1">
              <a:off x="5036438" y="3651413"/>
              <a:ext cx="619125" cy="2571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9</xdr:row>
      <xdr:rowOff>9525</xdr:rowOff>
    </xdr:from>
    <xdr:ext cx="1171575" cy="219075"/>
    <xdr:grpSp>
      <xdr:nvGrpSpPr>
        <xdr:cNvPr id="3" name="Shape 2">
          <a:extLst>
            <a:ext uri="{FF2B5EF4-FFF2-40B4-BE49-F238E27FC236}">
              <a16:creationId xmlns:a16="http://schemas.microsoft.com/office/drawing/2014/main" id="{00000000-0008-0000-3100-000003000000}"/>
            </a:ext>
          </a:extLst>
        </xdr:cNvPr>
        <xdr:cNvGrpSpPr/>
      </xdr:nvGrpSpPr>
      <xdr:grpSpPr>
        <a:xfrm>
          <a:off x="428625" y="2038350"/>
          <a:ext cx="1171575" cy="219075"/>
          <a:chOff x="4760213" y="3670463"/>
          <a:chExt cx="1171575" cy="219075"/>
        </a:xfrm>
      </xdr:grpSpPr>
      <xdr:grpSp>
        <xdr:nvGrpSpPr>
          <xdr:cNvPr id="247" name="Shape 247">
            <a:extLst>
              <a:ext uri="{FF2B5EF4-FFF2-40B4-BE49-F238E27FC236}">
                <a16:creationId xmlns:a16="http://schemas.microsoft.com/office/drawing/2014/main" id="{00000000-0008-0000-3100-0000F7000000}"/>
              </a:ext>
            </a:extLst>
          </xdr:cNvPr>
          <xdr:cNvGrpSpPr/>
        </xdr:nvGrpSpPr>
        <xdr:grpSpPr>
          <a:xfrm>
            <a:off x="4760213" y="3670463"/>
            <a:ext cx="1171575" cy="219075"/>
            <a:chOff x="4764975" y="3675225"/>
            <a:chExt cx="1162050" cy="209550"/>
          </a:xfrm>
        </xdr:grpSpPr>
        <xdr:sp macro="" textlink="">
          <xdr:nvSpPr>
            <xdr:cNvPr id="5" name="Shape 4">
              <a:extLst>
                <a:ext uri="{FF2B5EF4-FFF2-40B4-BE49-F238E27FC236}">
                  <a16:creationId xmlns:a16="http://schemas.microsoft.com/office/drawing/2014/main" id="{00000000-0008-0000-3100-000005000000}"/>
                </a:ext>
              </a:extLst>
            </xdr:cNvPr>
            <xdr:cNvSpPr/>
          </xdr:nvSpPr>
          <xdr:spPr>
            <a:xfrm>
              <a:off x="4764975" y="3675225"/>
              <a:ext cx="116205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8" name="Shape 248">
              <a:extLst>
                <a:ext uri="{FF2B5EF4-FFF2-40B4-BE49-F238E27FC236}">
                  <a16:creationId xmlns:a16="http://schemas.microsoft.com/office/drawing/2014/main" id="{00000000-0008-0000-3100-0000F8000000}"/>
                </a:ext>
              </a:extLst>
            </xdr:cNvPr>
            <xdr:cNvCxnSpPr/>
          </xdr:nvCxnSpPr>
          <xdr:spPr>
            <a:xfrm flipH="1">
              <a:off x="4764975" y="3675225"/>
              <a:ext cx="1162050"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15</xdr:col>
      <xdr:colOff>133350</xdr:colOff>
      <xdr:row>0</xdr:row>
      <xdr:rowOff>0</xdr:rowOff>
    </xdr:from>
    <xdr:ext cx="1571625" cy="609600"/>
    <xdr:pic>
      <xdr:nvPicPr>
        <xdr:cNvPr id="6" name="image1.jpg">
          <a:extLst>
            <a:ext uri="{FF2B5EF4-FFF2-40B4-BE49-F238E27FC236}">
              <a16:creationId xmlns:a16="http://schemas.microsoft.com/office/drawing/2014/main" id="{00000000-0008-0000-3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dr:oneCellAnchor>
    <xdr:from>
      <xdr:col>0</xdr:col>
      <xdr:colOff>342900</xdr:colOff>
      <xdr:row>6</xdr:row>
      <xdr:rowOff>171450</xdr:rowOff>
    </xdr:from>
    <xdr:ext cx="628650" cy="266700"/>
    <xdr:grpSp>
      <xdr:nvGrpSpPr>
        <xdr:cNvPr id="2" name="Shape 2">
          <a:extLst>
            <a:ext uri="{FF2B5EF4-FFF2-40B4-BE49-F238E27FC236}">
              <a16:creationId xmlns:a16="http://schemas.microsoft.com/office/drawing/2014/main" id="{00000000-0008-0000-3200-000002000000}"/>
            </a:ext>
          </a:extLst>
        </xdr:cNvPr>
        <xdr:cNvGrpSpPr/>
      </xdr:nvGrpSpPr>
      <xdr:grpSpPr>
        <a:xfrm>
          <a:off x="342900" y="1619250"/>
          <a:ext cx="628650" cy="266700"/>
          <a:chOff x="5031675" y="3646650"/>
          <a:chExt cx="628650" cy="266700"/>
        </a:xfrm>
      </xdr:grpSpPr>
      <xdr:grpSp>
        <xdr:nvGrpSpPr>
          <xdr:cNvPr id="249" name="Shape 249">
            <a:extLst>
              <a:ext uri="{FF2B5EF4-FFF2-40B4-BE49-F238E27FC236}">
                <a16:creationId xmlns:a16="http://schemas.microsoft.com/office/drawing/2014/main" id="{00000000-0008-0000-3200-0000F9000000}"/>
              </a:ext>
            </a:extLst>
          </xdr:cNvPr>
          <xdr:cNvGrpSpPr/>
        </xdr:nvGrpSpPr>
        <xdr:grpSpPr>
          <a:xfrm>
            <a:off x="5031675" y="3646650"/>
            <a:ext cx="628650" cy="266700"/>
            <a:chOff x="5036438" y="3651413"/>
            <a:chExt cx="619125" cy="257175"/>
          </a:xfrm>
        </xdr:grpSpPr>
        <xdr:sp macro="" textlink="">
          <xdr:nvSpPr>
            <xdr:cNvPr id="4" name="Shape 4">
              <a:extLst>
                <a:ext uri="{FF2B5EF4-FFF2-40B4-BE49-F238E27FC236}">
                  <a16:creationId xmlns:a16="http://schemas.microsoft.com/office/drawing/2014/main" id="{00000000-0008-0000-3200-000004000000}"/>
                </a:ext>
              </a:extLst>
            </xdr:cNvPr>
            <xdr:cNvSpPr/>
          </xdr:nvSpPr>
          <xdr:spPr>
            <a:xfrm>
              <a:off x="5036438" y="3651413"/>
              <a:ext cx="619125"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0" name="Shape 250">
              <a:extLst>
                <a:ext uri="{FF2B5EF4-FFF2-40B4-BE49-F238E27FC236}">
                  <a16:creationId xmlns:a16="http://schemas.microsoft.com/office/drawing/2014/main" id="{00000000-0008-0000-3200-0000FA000000}"/>
                </a:ext>
              </a:extLst>
            </xdr:cNvPr>
            <xdr:cNvCxnSpPr/>
          </xdr:nvCxnSpPr>
          <xdr:spPr>
            <a:xfrm flipH="1">
              <a:off x="5036438" y="3651413"/>
              <a:ext cx="619125" cy="2571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428625</xdr:colOff>
      <xdr:row>7</xdr:row>
      <xdr:rowOff>9525</xdr:rowOff>
    </xdr:from>
    <xdr:ext cx="1171575" cy="219075"/>
    <xdr:grpSp>
      <xdr:nvGrpSpPr>
        <xdr:cNvPr id="3" name="Shape 2">
          <a:extLst>
            <a:ext uri="{FF2B5EF4-FFF2-40B4-BE49-F238E27FC236}">
              <a16:creationId xmlns:a16="http://schemas.microsoft.com/office/drawing/2014/main" id="{00000000-0008-0000-3200-000003000000}"/>
            </a:ext>
          </a:extLst>
        </xdr:cNvPr>
        <xdr:cNvGrpSpPr/>
      </xdr:nvGrpSpPr>
      <xdr:grpSpPr>
        <a:xfrm>
          <a:off x="428625" y="1657350"/>
          <a:ext cx="1171575" cy="219075"/>
          <a:chOff x="4760213" y="3670463"/>
          <a:chExt cx="1171575" cy="219075"/>
        </a:xfrm>
      </xdr:grpSpPr>
      <xdr:grpSp>
        <xdr:nvGrpSpPr>
          <xdr:cNvPr id="251" name="Shape 251">
            <a:extLst>
              <a:ext uri="{FF2B5EF4-FFF2-40B4-BE49-F238E27FC236}">
                <a16:creationId xmlns:a16="http://schemas.microsoft.com/office/drawing/2014/main" id="{00000000-0008-0000-3200-0000FB000000}"/>
              </a:ext>
            </a:extLst>
          </xdr:cNvPr>
          <xdr:cNvGrpSpPr/>
        </xdr:nvGrpSpPr>
        <xdr:grpSpPr>
          <a:xfrm>
            <a:off x="4760213" y="3670463"/>
            <a:ext cx="1171575" cy="219075"/>
            <a:chOff x="4764975" y="3675225"/>
            <a:chExt cx="1162050" cy="209550"/>
          </a:xfrm>
        </xdr:grpSpPr>
        <xdr:sp macro="" textlink="">
          <xdr:nvSpPr>
            <xdr:cNvPr id="5" name="Shape 4">
              <a:extLst>
                <a:ext uri="{FF2B5EF4-FFF2-40B4-BE49-F238E27FC236}">
                  <a16:creationId xmlns:a16="http://schemas.microsoft.com/office/drawing/2014/main" id="{00000000-0008-0000-3200-000005000000}"/>
                </a:ext>
              </a:extLst>
            </xdr:cNvPr>
            <xdr:cNvSpPr/>
          </xdr:nvSpPr>
          <xdr:spPr>
            <a:xfrm>
              <a:off x="4764975" y="3675225"/>
              <a:ext cx="116205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2" name="Shape 252">
              <a:extLst>
                <a:ext uri="{FF2B5EF4-FFF2-40B4-BE49-F238E27FC236}">
                  <a16:creationId xmlns:a16="http://schemas.microsoft.com/office/drawing/2014/main" id="{00000000-0008-0000-3200-0000FC000000}"/>
                </a:ext>
              </a:extLst>
            </xdr:cNvPr>
            <xdr:cNvCxnSpPr/>
          </xdr:nvCxnSpPr>
          <xdr:spPr>
            <a:xfrm flipH="1">
              <a:off x="4764975" y="3675225"/>
              <a:ext cx="1162050"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6" name="image1.jpg">
          <a:extLst>
            <a:ext uri="{FF2B5EF4-FFF2-40B4-BE49-F238E27FC236}">
              <a16:creationId xmlns:a16="http://schemas.microsoft.com/office/drawing/2014/main" id="{00000000-0008-0000-3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dr:oneCellAnchor>
    <xdr:from>
      <xdr:col>0</xdr:col>
      <xdr:colOff>304800</xdr:colOff>
      <xdr:row>7</xdr:row>
      <xdr:rowOff>9525</xdr:rowOff>
    </xdr:from>
    <xdr:ext cx="180975" cy="219075"/>
    <xdr:grpSp>
      <xdr:nvGrpSpPr>
        <xdr:cNvPr id="2" name="Shape 2">
          <a:extLst>
            <a:ext uri="{FF2B5EF4-FFF2-40B4-BE49-F238E27FC236}">
              <a16:creationId xmlns:a16="http://schemas.microsoft.com/office/drawing/2014/main" id="{00000000-0008-0000-3300-000002000000}"/>
            </a:ext>
          </a:extLst>
        </xdr:cNvPr>
        <xdr:cNvGrpSpPr/>
      </xdr:nvGrpSpPr>
      <xdr:grpSpPr>
        <a:xfrm>
          <a:off x="304800" y="1657350"/>
          <a:ext cx="180975" cy="219075"/>
          <a:chOff x="5255513" y="3670463"/>
          <a:chExt cx="180975" cy="219075"/>
        </a:xfrm>
      </xdr:grpSpPr>
      <xdr:grpSp>
        <xdr:nvGrpSpPr>
          <xdr:cNvPr id="253" name="Shape 253">
            <a:extLst>
              <a:ext uri="{FF2B5EF4-FFF2-40B4-BE49-F238E27FC236}">
                <a16:creationId xmlns:a16="http://schemas.microsoft.com/office/drawing/2014/main" id="{00000000-0008-0000-3300-0000FD000000}"/>
              </a:ext>
            </a:extLst>
          </xdr:cNvPr>
          <xdr:cNvGrpSpPr/>
        </xdr:nvGrpSpPr>
        <xdr:grpSpPr>
          <a:xfrm>
            <a:off x="5255513" y="3670463"/>
            <a:ext cx="180975" cy="219075"/>
            <a:chOff x="5260275" y="3675225"/>
            <a:chExt cx="171450" cy="209550"/>
          </a:xfrm>
        </xdr:grpSpPr>
        <xdr:sp macro="" textlink="">
          <xdr:nvSpPr>
            <xdr:cNvPr id="4" name="Shape 4">
              <a:extLst>
                <a:ext uri="{FF2B5EF4-FFF2-40B4-BE49-F238E27FC236}">
                  <a16:creationId xmlns:a16="http://schemas.microsoft.com/office/drawing/2014/main" id="{00000000-0008-0000-3300-000004000000}"/>
                </a:ext>
              </a:extLst>
            </xdr:cNvPr>
            <xdr:cNvSpPr/>
          </xdr:nvSpPr>
          <xdr:spPr>
            <a:xfrm>
              <a:off x="5260275" y="3675225"/>
              <a:ext cx="17145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4" name="Shape 254">
              <a:extLst>
                <a:ext uri="{FF2B5EF4-FFF2-40B4-BE49-F238E27FC236}">
                  <a16:creationId xmlns:a16="http://schemas.microsoft.com/office/drawing/2014/main" id="{00000000-0008-0000-3300-0000FE000000}"/>
                </a:ext>
              </a:extLst>
            </xdr:cNvPr>
            <xdr:cNvCxnSpPr/>
          </xdr:nvCxnSpPr>
          <xdr:spPr>
            <a:xfrm flipH="1">
              <a:off x="5260275" y="3675225"/>
              <a:ext cx="171450"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285750</xdr:colOff>
      <xdr:row>7</xdr:row>
      <xdr:rowOff>0</xdr:rowOff>
    </xdr:from>
    <xdr:ext cx="581025" cy="885825"/>
    <xdr:grpSp>
      <xdr:nvGrpSpPr>
        <xdr:cNvPr id="3" name="Shape 2">
          <a:extLst>
            <a:ext uri="{FF2B5EF4-FFF2-40B4-BE49-F238E27FC236}">
              <a16:creationId xmlns:a16="http://schemas.microsoft.com/office/drawing/2014/main" id="{00000000-0008-0000-3300-000003000000}"/>
            </a:ext>
          </a:extLst>
        </xdr:cNvPr>
        <xdr:cNvGrpSpPr/>
      </xdr:nvGrpSpPr>
      <xdr:grpSpPr>
        <a:xfrm>
          <a:off x="285750" y="1647825"/>
          <a:ext cx="581025" cy="885825"/>
          <a:chOff x="5055488" y="3337088"/>
          <a:chExt cx="581025" cy="885825"/>
        </a:xfrm>
      </xdr:grpSpPr>
      <xdr:grpSp>
        <xdr:nvGrpSpPr>
          <xdr:cNvPr id="255" name="Shape 255">
            <a:extLst>
              <a:ext uri="{FF2B5EF4-FFF2-40B4-BE49-F238E27FC236}">
                <a16:creationId xmlns:a16="http://schemas.microsoft.com/office/drawing/2014/main" id="{00000000-0008-0000-3300-0000FF000000}"/>
              </a:ext>
            </a:extLst>
          </xdr:cNvPr>
          <xdr:cNvGrpSpPr/>
        </xdr:nvGrpSpPr>
        <xdr:grpSpPr>
          <a:xfrm>
            <a:off x="5055488" y="3337088"/>
            <a:ext cx="581025" cy="885825"/>
            <a:chOff x="5060250" y="3341850"/>
            <a:chExt cx="571500" cy="876300"/>
          </a:xfrm>
        </xdr:grpSpPr>
        <xdr:sp macro="" textlink="">
          <xdr:nvSpPr>
            <xdr:cNvPr id="5" name="Shape 4">
              <a:extLst>
                <a:ext uri="{FF2B5EF4-FFF2-40B4-BE49-F238E27FC236}">
                  <a16:creationId xmlns:a16="http://schemas.microsoft.com/office/drawing/2014/main" id="{00000000-0008-0000-3300-000005000000}"/>
                </a:ext>
              </a:extLst>
            </xdr:cNvPr>
            <xdr:cNvSpPr/>
          </xdr:nvSpPr>
          <xdr:spPr>
            <a:xfrm>
              <a:off x="5060250" y="3341850"/>
              <a:ext cx="5715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6" name="Shape 256">
              <a:extLst>
                <a:ext uri="{FF2B5EF4-FFF2-40B4-BE49-F238E27FC236}">
                  <a16:creationId xmlns:a16="http://schemas.microsoft.com/office/drawing/2014/main" id="{00000000-0008-0000-3300-000000010000}"/>
                </a:ext>
              </a:extLst>
            </xdr:cNvPr>
            <xdr:cNvCxnSpPr/>
          </xdr:nvCxnSpPr>
          <xdr:spPr>
            <a:xfrm flipH="1">
              <a:off x="5060250" y="3341850"/>
              <a:ext cx="571500" cy="8763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190500</xdr:colOff>
      <xdr:row>7</xdr:row>
      <xdr:rowOff>0</xdr:rowOff>
    </xdr:from>
    <xdr:ext cx="971550" cy="1466850"/>
    <xdr:grpSp>
      <xdr:nvGrpSpPr>
        <xdr:cNvPr id="6" name="Shape 2">
          <a:extLst>
            <a:ext uri="{FF2B5EF4-FFF2-40B4-BE49-F238E27FC236}">
              <a16:creationId xmlns:a16="http://schemas.microsoft.com/office/drawing/2014/main" id="{00000000-0008-0000-3300-000006000000}"/>
            </a:ext>
          </a:extLst>
        </xdr:cNvPr>
        <xdr:cNvGrpSpPr/>
      </xdr:nvGrpSpPr>
      <xdr:grpSpPr>
        <a:xfrm>
          <a:off x="190500" y="1647825"/>
          <a:ext cx="971550" cy="1466850"/>
          <a:chOff x="4860225" y="3046575"/>
          <a:chExt cx="971550" cy="1466850"/>
        </a:xfrm>
      </xdr:grpSpPr>
      <xdr:grpSp>
        <xdr:nvGrpSpPr>
          <xdr:cNvPr id="257" name="Shape 257">
            <a:extLst>
              <a:ext uri="{FF2B5EF4-FFF2-40B4-BE49-F238E27FC236}">
                <a16:creationId xmlns:a16="http://schemas.microsoft.com/office/drawing/2014/main" id="{00000000-0008-0000-3300-000001010000}"/>
              </a:ext>
            </a:extLst>
          </xdr:cNvPr>
          <xdr:cNvGrpSpPr/>
        </xdr:nvGrpSpPr>
        <xdr:grpSpPr>
          <a:xfrm>
            <a:off x="4860225" y="3046575"/>
            <a:ext cx="971550" cy="1466850"/>
            <a:chOff x="4864988" y="3051338"/>
            <a:chExt cx="962025" cy="1457325"/>
          </a:xfrm>
        </xdr:grpSpPr>
        <xdr:sp macro="" textlink="">
          <xdr:nvSpPr>
            <xdr:cNvPr id="7" name="Shape 4">
              <a:extLst>
                <a:ext uri="{FF2B5EF4-FFF2-40B4-BE49-F238E27FC236}">
                  <a16:creationId xmlns:a16="http://schemas.microsoft.com/office/drawing/2014/main" id="{00000000-0008-0000-3300-000007000000}"/>
                </a:ext>
              </a:extLst>
            </xdr:cNvPr>
            <xdr:cNvSpPr/>
          </xdr:nvSpPr>
          <xdr:spPr>
            <a:xfrm>
              <a:off x="4864988" y="3051338"/>
              <a:ext cx="962025" cy="1457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8" name="Shape 258">
              <a:extLst>
                <a:ext uri="{FF2B5EF4-FFF2-40B4-BE49-F238E27FC236}">
                  <a16:creationId xmlns:a16="http://schemas.microsoft.com/office/drawing/2014/main" id="{00000000-0008-0000-3300-000002010000}"/>
                </a:ext>
              </a:extLst>
            </xdr:cNvPr>
            <xdr:cNvCxnSpPr/>
          </xdr:nvCxnSpPr>
          <xdr:spPr>
            <a:xfrm flipH="1">
              <a:off x="4864988" y="3051338"/>
              <a:ext cx="962025" cy="14573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171450</xdr:colOff>
      <xdr:row>7</xdr:row>
      <xdr:rowOff>9525</xdr:rowOff>
    </xdr:from>
    <xdr:ext cx="1457325" cy="1962150"/>
    <xdr:grpSp>
      <xdr:nvGrpSpPr>
        <xdr:cNvPr id="8" name="Shape 2">
          <a:extLst>
            <a:ext uri="{FF2B5EF4-FFF2-40B4-BE49-F238E27FC236}">
              <a16:creationId xmlns:a16="http://schemas.microsoft.com/office/drawing/2014/main" id="{00000000-0008-0000-3300-000008000000}"/>
            </a:ext>
          </a:extLst>
        </xdr:cNvPr>
        <xdr:cNvGrpSpPr/>
      </xdr:nvGrpSpPr>
      <xdr:grpSpPr>
        <a:xfrm>
          <a:off x="171450" y="1657350"/>
          <a:ext cx="1457325" cy="1962150"/>
          <a:chOff x="4617338" y="2798925"/>
          <a:chExt cx="1457325" cy="1962150"/>
        </a:xfrm>
      </xdr:grpSpPr>
      <xdr:grpSp>
        <xdr:nvGrpSpPr>
          <xdr:cNvPr id="259" name="Shape 259">
            <a:extLst>
              <a:ext uri="{FF2B5EF4-FFF2-40B4-BE49-F238E27FC236}">
                <a16:creationId xmlns:a16="http://schemas.microsoft.com/office/drawing/2014/main" id="{00000000-0008-0000-3300-000003010000}"/>
              </a:ext>
            </a:extLst>
          </xdr:cNvPr>
          <xdr:cNvGrpSpPr/>
        </xdr:nvGrpSpPr>
        <xdr:grpSpPr>
          <a:xfrm>
            <a:off x="4617338" y="2798925"/>
            <a:ext cx="1457325" cy="1962150"/>
            <a:chOff x="4622100" y="2803688"/>
            <a:chExt cx="1447800" cy="1952625"/>
          </a:xfrm>
        </xdr:grpSpPr>
        <xdr:sp macro="" textlink="">
          <xdr:nvSpPr>
            <xdr:cNvPr id="9" name="Shape 4">
              <a:extLst>
                <a:ext uri="{FF2B5EF4-FFF2-40B4-BE49-F238E27FC236}">
                  <a16:creationId xmlns:a16="http://schemas.microsoft.com/office/drawing/2014/main" id="{00000000-0008-0000-3300-000009000000}"/>
                </a:ext>
              </a:extLst>
            </xdr:cNvPr>
            <xdr:cNvSpPr/>
          </xdr:nvSpPr>
          <xdr:spPr>
            <a:xfrm>
              <a:off x="4622100" y="2803688"/>
              <a:ext cx="1447800" cy="1952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0" name="Shape 260">
              <a:extLst>
                <a:ext uri="{FF2B5EF4-FFF2-40B4-BE49-F238E27FC236}">
                  <a16:creationId xmlns:a16="http://schemas.microsoft.com/office/drawing/2014/main" id="{00000000-0008-0000-3300-000004010000}"/>
                </a:ext>
              </a:extLst>
            </xdr:cNvPr>
            <xdr:cNvCxnSpPr/>
          </xdr:nvCxnSpPr>
          <xdr:spPr>
            <a:xfrm flipH="1">
              <a:off x="4622100" y="2803688"/>
              <a:ext cx="1447800" cy="19526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304800</xdr:colOff>
      <xdr:row>35</xdr:row>
      <xdr:rowOff>9525</xdr:rowOff>
    </xdr:from>
    <xdr:ext cx="180975" cy="219075"/>
    <xdr:grpSp>
      <xdr:nvGrpSpPr>
        <xdr:cNvPr id="10" name="Shape 2">
          <a:extLst>
            <a:ext uri="{FF2B5EF4-FFF2-40B4-BE49-F238E27FC236}">
              <a16:creationId xmlns:a16="http://schemas.microsoft.com/office/drawing/2014/main" id="{00000000-0008-0000-3300-00000A000000}"/>
            </a:ext>
          </a:extLst>
        </xdr:cNvPr>
        <xdr:cNvGrpSpPr/>
      </xdr:nvGrpSpPr>
      <xdr:grpSpPr>
        <a:xfrm>
          <a:off x="304800" y="7124700"/>
          <a:ext cx="180975" cy="219075"/>
          <a:chOff x="5255513" y="3670463"/>
          <a:chExt cx="180975" cy="219075"/>
        </a:xfrm>
      </xdr:grpSpPr>
      <xdr:grpSp>
        <xdr:nvGrpSpPr>
          <xdr:cNvPr id="261" name="Shape 261">
            <a:extLst>
              <a:ext uri="{FF2B5EF4-FFF2-40B4-BE49-F238E27FC236}">
                <a16:creationId xmlns:a16="http://schemas.microsoft.com/office/drawing/2014/main" id="{00000000-0008-0000-3300-000005010000}"/>
              </a:ext>
            </a:extLst>
          </xdr:cNvPr>
          <xdr:cNvGrpSpPr/>
        </xdr:nvGrpSpPr>
        <xdr:grpSpPr>
          <a:xfrm>
            <a:off x="5255513" y="3670463"/>
            <a:ext cx="180975" cy="219075"/>
            <a:chOff x="5260275" y="3675225"/>
            <a:chExt cx="171450" cy="209550"/>
          </a:xfrm>
        </xdr:grpSpPr>
        <xdr:sp macro="" textlink="">
          <xdr:nvSpPr>
            <xdr:cNvPr id="11" name="Shape 4">
              <a:extLst>
                <a:ext uri="{FF2B5EF4-FFF2-40B4-BE49-F238E27FC236}">
                  <a16:creationId xmlns:a16="http://schemas.microsoft.com/office/drawing/2014/main" id="{00000000-0008-0000-3300-00000B000000}"/>
                </a:ext>
              </a:extLst>
            </xdr:cNvPr>
            <xdr:cNvSpPr/>
          </xdr:nvSpPr>
          <xdr:spPr>
            <a:xfrm>
              <a:off x="5260275" y="3675225"/>
              <a:ext cx="17145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2" name="Shape 262">
              <a:extLst>
                <a:ext uri="{FF2B5EF4-FFF2-40B4-BE49-F238E27FC236}">
                  <a16:creationId xmlns:a16="http://schemas.microsoft.com/office/drawing/2014/main" id="{00000000-0008-0000-3300-000006010000}"/>
                </a:ext>
              </a:extLst>
            </xdr:cNvPr>
            <xdr:cNvCxnSpPr/>
          </xdr:nvCxnSpPr>
          <xdr:spPr>
            <a:xfrm flipH="1">
              <a:off x="5260275" y="3675225"/>
              <a:ext cx="171450"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285750</xdr:colOff>
      <xdr:row>35</xdr:row>
      <xdr:rowOff>0</xdr:rowOff>
    </xdr:from>
    <xdr:ext cx="581025" cy="885825"/>
    <xdr:grpSp>
      <xdr:nvGrpSpPr>
        <xdr:cNvPr id="12" name="Shape 2">
          <a:extLst>
            <a:ext uri="{FF2B5EF4-FFF2-40B4-BE49-F238E27FC236}">
              <a16:creationId xmlns:a16="http://schemas.microsoft.com/office/drawing/2014/main" id="{00000000-0008-0000-3300-00000C000000}"/>
            </a:ext>
          </a:extLst>
        </xdr:cNvPr>
        <xdr:cNvGrpSpPr/>
      </xdr:nvGrpSpPr>
      <xdr:grpSpPr>
        <a:xfrm>
          <a:off x="285750" y="7115175"/>
          <a:ext cx="581025" cy="885825"/>
          <a:chOff x="5055488" y="3337088"/>
          <a:chExt cx="581025" cy="885825"/>
        </a:xfrm>
      </xdr:grpSpPr>
      <xdr:grpSp>
        <xdr:nvGrpSpPr>
          <xdr:cNvPr id="263" name="Shape 263">
            <a:extLst>
              <a:ext uri="{FF2B5EF4-FFF2-40B4-BE49-F238E27FC236}">
                <a16:creationId xmlns:a16="http://schemas.microsoft.com/office/drawing/2014/main" id="{00000000-0008-0000-3300-000007010000}"/>
              </a:ext>
            </a:extLst>
          </xdr:cNvPr>
          <xdr:cNvGrpSpPr/>
        </xdr:nvGrpSpPr>
        <xdr:grpSpPr>
          <a:xfrm>
            <a:off x="5055488" y="3337088"/>
            <a:ext cx="581025" cy="885825"/>
            <a:chOff x="5060250" y="3341850"/>
            <a:chExt cx="571500" cy="876300"/>
          </a:xfrm>
        </xdr:grpSpPr>
        <xdr:sp macro="" textlink="">
          <xdr:nvSpPr>
            <xdr:cNvPr id="13" name="Shape 4">
              <a:extLst>
                <a:ext uri="{FF2B5EF4-FFF2-40B4-BE49-F238E27FC236}">
                  <a16:creationId xmlns:a16="http://schemas.microsoft.com/office/drawing/2014/main" id="{00000000-0008-0000-3300-00000D000000}"/>
                </a:ext>
              </a:extLst>
            </xdr:cNvPr>
            <xdr:cNvSpPr/>
          </xdr:nvSpPr>
          <xdr:spPr>
            <a:xfrm>
              <a:off x="5060250" y="3341850"/>
              <a:ext cx="5715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4" name="Shape 264">
              <a:extLst>
                <a:ext uri="{FF2B5EF4-FFF2-40B4-BE49-F238E27FC236}">
                  <a16:creationId xmlns:a16="http://schemas.microsoft.com/office/drawing/2014/main" id="{00000000-0008-0000-3300-000008010000}"/>
                </a:ext>
              </a:extLst>
            </xdr:cNvPr>
            <xdr:cNvCxnSpPr/>
          </xdr:nvCxnSpPr>
          <xdr:spPr>
            <a:xfrm flipH="1">
              <a:off x="5060250" y="3341850"/>
              <a:ext cx="571500" cy="8763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190500</xdr:colOff>
      <xdr:row>35</xdr:row>
      <xdr:rowOff>0</xdr:rowOff>
    </xdr:from>
    <xdr:ext cx="971550" cy="1466850"/>
    <xdr:grpSp>
      <xdr:nvGrpSpPr>
        <xdr:cNvPr id="14" name="Shape 2">
          <a:extLst>
            <a:ext uri="{FF2B5EF4-FFF2-40B4-BE49-F238E27FC236}">
              <a16:creationId xmlns:a16="http://schemas.microsoft.com/office/drawing/2014/main" id="{00000000-0008-0000-3300-00000E000000}"/>
            </a:ext>
          </a:extLst>
        </xdr:cNvPr>
        <xdr:cNvGrpSpPr/>
      </xdr:nvGrpSpPr>
      <xdr:grpSpPr>
        <a:xfrm>
          <a:off x="190500" y="7115175"/>
          <a:ext cx="971550" cy="1466850"/>
          <a:chOff x="4860225" y="3046575"/>
          <a:chExt cx="971550" cy="1466850"/>
        </a:xfrm>
      </xdr:grpSpPr>
      <xdr:grpSp>
        <xdr:nvGrpSpPr>
          <xdr:cNvPr id="265" name="Shape 265">
            <a:extLst>
              <a:ext uri="{FF2B5EF4-FFF2-40B4-BE49-F238E27FC236}">
                <a16:creationId xmlns:a16="http://schemas.microsoft.com/office/drawing/2014/main" id="{00000000-0008-0000-3300-000009010000}"/>
              </a:ext>
            </a:extLst>
          </xdr:cNvPr>
          <xdr:cNvGrpSpPr/>
        </xdr:nvGrpSpPr>
        <xdr:grpSpPr>
          <a:xfrm>
            <a:off x="4860225" y="3046575"/>
            <a:ext cx="971550" cy="1466850"/>
            <a:chOff x="4864988" y="3051338"/>
            <a:chExt cx="962025" cy="1457325"/>
          </a:xfrm>
        </xdr:grpSpPr>
        <xdr:sp macro="" textlink="">
          <xdr:nvSpPr>
            <xdr:cNvPr id="15" name="Shape 4">
              <a:extLst>
                <a:ext uri="{FF2B5EF4-FFF2-40B4-BE49-F238E27FC236}">
                  <a16:creationId xmlns:a16="http://schemas.microsoft.com/office/drawing/2014/main" id="{00000000-0008-0000-3300-00000F000000}"/>
                </a:ext>
              </a:extLst>
            </xdr:cNvPr>
            <xdr:cNvSpPr/>
          </xdr:nvSpPr>
          <xdr:spPr>
            <a:xfrm>
              <a:off x="4864988" y="3051338"/>
              <a:ext cx="962025" cy="1457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6" name="Shape 266">
              <a:extLst>
                <a:ext uri="{FF2B5EF4-FFF2-40B4-BE49-F238E27FC236}">
                  <a16:creationId xmlns:a16="http://schemas.microsoft.com/office/drawing/2014/main" id="{00000000-0008-0000-3300-00000A010000}"/>
                </a:ext>
              </a:extLst>
            </xdr:cNvPr>
            <xdr:cNvCxnSpPr/>
          </xdr:nvCxnSpPr>
          <xdr:spPr>
            <a:xfrm flipH="1">
              <a:off x="4864988" y="3051338"/>
              <a:ext cx="962025" cy="14573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171450</xdr:colOff>
      <xdr:row>35</xdr:row>
      <xdr:rowOff>9525</xdr:rowOff>
    </xdr:from>
    <xdr:ext cx="1457325" cy="1962150"/>
    <xdr:grpSp>
      <xdr:nvGrpSpPr>
        <xdr:cNvPr id="16" name="Shape 2">
          <a:extLst>
            <a:ext uri="{FF2B5EF4-FFF2-40B4-BE49-F238E27FC236}">
              <a16:creationId xmlns:a16="http://schemas.microsoft.com/office/drawing/2014/main" id="{00000000-0008-0000-3300-000010000000}"/>
            </a:ext>
          </a:extLst>
        </xdr:cNvPr>
        <xdr:cNvGrpSpPr/>
      </xdr:nvGrpSpPr>
      <xdr:grpSpPr>
        <a:xfrm>
          <a:off x="171450" y="7124700"/>
          <a:ext cx="1457325" cy="1962150"/>
          <a:chOff x="4617338" y="2798925"/>
          <a:chExt cx="1457325" cy="1962150"/>
        </a:xfrm>
      </xdr:grpSpPr>
      <xdr:grpSp>
        <xdr:nvGrpSpPr>
          <xdr:cNvPr id="267" name="Shape 267">
            <a:extLst>
              <a:ext uri="{FF2B5EF4-FFF2-40B4-BE49-F238E27FC236}">
                <a16:creationId xmlns:a16="http://schemas.microsoft.com/office/drawing/2014/main" id="{00000000-0008-0000-3300-00000B010000}"/>
              </a:ext>
            </a:extLst>
          </xdr:cNvPr>
          <xdr:cNvGrpSpPr/>
        </xdr:nvGrpSpPr>
        <xdr:grpSpPr>
          <a:xfrm>
            <a:off x="4617338" y="2798925"/>
            <a:ext cx="1457325" cy="1962150"/>
            <a:chOff x="4622100" y="2803688"/>
            <a:chExt cx="1447800" cy="1952625"/>
          </a:xfrm>
        </xdr:grpSpPr>
        <xdr:sp macro="" textlink="">
          <xdr:nvSpPr>
            <xdr:cNvPr id="17" name="Shape 4">
              <a:extLst>
                <a:ext uri="{FF2B5EF4-FFF2-40B4-BE49-F238E27FC236}">
                  <a16:creationId xmlns:a16="http://schemas.microsoft.com/office/drawing/2014/main" id="{00000000-0008-0000-3300-000011000000}"/>
                </a:ext>
              </a:extLst>
            </xdr:cNvPr>
            <xdr:cNvSpPr/>
          </xdr:nvSpPr>
          <xdr:spPr>
            <a:xfrm>
              <a:off x="4622100" y="2803688"/>
              <a:ext cx="1447800" cy="1952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8" name="Shape 268">
              <a:extLst>
                <a:ext uri="{FF2B5EF4-FFF2-40B4-BE49-F238E27FC236}">
                  <a16:creationId xmlns:a16="http://schemas.microsoft.com/office/drawing/2014/main" id="{00000000-0008-0000-3300-00000C010000}"/>
                </a:ext>
              </a:extLst>
            </xdr:cNvPr>
            <xdr:cNvCxnSpPr/>
          </xdr:nvCxnSpPr>
          <xdr:spPr>
            <a:xfrm flipH="1">
              <a:off x="4622100" y="2803688"/>
              <a:ext cx="1447800" cy="19526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304800</xdr:colOff>
      <xdr:row>61</xdr:row>
      <xdr:rowOff>9525</xdr:rowOff>
    </xdr:from>
    <xdr:ext cx="180975" cy="219075"/>
    <xdr:grpSp>
      <xdr:nvGrpSpPr>
        <xdr:cNvPr id="18" name="Shape 2">
          <a:extLst>
            <a:ext uri="{FF2B5EF4-FFF2-40B4-BE49-F238E27FC236}">
              <a16:creationId xmlns:a16="http://schemas.microsoft.com/office/drawing/2014/main" id="{00000000-0008-0000-3300-000012000000}"/>
            </a:ext>
          </a:extLst>
        </xdr:cNvPr>
        <xdr:cNvGrpSpPr/>
      </xdr:nvGrpSpPr>
      <xdr:grpSpPr>
        <a:xfrm>
          <a:off x="304800" y="12325350"/>
          <a:ext cx="180975" cy="219075"/>
          <a:chOff x="5255513" y="3670463"/>
          <a:chExt cx="180975" cy="219075"/>
        </a:xfrm>
      </xdr:grpSpPr>
      <xdr:grpSp>
        <xdr:nvGrpSpPr>
          <xdr:cNvPr id="269" name="Shape 269">
            <a:extLst>
              <a:ext uri="{FF2B5EF4-FFF2-40B4-BE49-F238E27FC236}">
                <a16:creationId xmlns:a16="http://schemas.microsoft.com/office/drawing/2014/main" id="{00000000-0008-0000-3300-00000D010000}"/>
              </a:ext>
            </a:extLst>
          </xdr:cNvPr>
          <xdr:cNvGrpSpPr/>
        </xdr:nvGrpSpPr>
        <xdr:grpSpPr>
          <a:xfrm>
            <a:off x="5255513" y="3670463"/>
            <a:ext cx="180975" cy="219075"/>
            <a:chOff x="5260275" y="3675225"/>
            <a:chExt cx="171450" cy="209550"/>
          </a:xfrm>
        </xdr:grpSpPr>
        <xdr:sp macro="" textlink="">
          <xdr:nvSpPr>
            <xdr:cNvPr id="19" name="Shape 4">
              <a:extLst>
                <a:ext uri="{FF2B5EF4-FFF2-40B4-BE49-F238E27FC236}">
                  <a16:creationId xmlns:a16="http://schemas.microsoft.com/office/drawing/2014/main" id="{00000000-0008-0000-3300-000013000000}"/>
                </a:ext>
              </a:extLst>
            </xdr:cNvPr>
            <xdr:cNvSpPr/>
          </xdr:nvSpPr>
          <xdr:spPr>
            <a:xfrm>
              <a:off x="5260275" y="3675225"/>
              <a:ext cx="17145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0" name="Shape 270">
              <a:extLst>
                <a:ext uri="{FF2B5EF4-FFF2-40B4-BE49-F238E27FC236}">
                  <a16:creationId xmlns:a16="http://schemas.microsoft.com/office/drawing/2014/main" id="{00000000-0008-0000-3300-00000E010000}"/>
                </a:ext>
              </a:extLst>
            </xdr:cNvPr>
            <xdr:cNvCxnSpPr/>
          </xdr:nvCxnSpPr>
          <xdr:spPr>
            <a:xfrm flipH="1">
              <a:off x="5260275" y="3675225"/>
              <a:ext cx="171450"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285750</xdr:colOff>
      <xdr:row>61</xdr:row>
      <xdr:rowOff>0</xdr:rowOff>
    </xdr:from>
    <xdr:ext cx="581025" cy="885825"/>
    <xdr:grpSp>
      <xdr:nvGrpSpPr>
        <xdr:cNvPr id="20" name="Shape 2">
          <a:extLst>
            <a:ext uri="{FF2B5EF4-FFF2-40B4-BE49-F238E27FC236}">
              <a16:creationId xmlns:a16="http://schemas.microsoft.com/office/drawing/2014/main" id="{00000000-0008-0000-3300-000014000000}"/>
            </a:ext>
          </a:extLst>
        </xdr:cNvPr>
        <xdr:cNvGrpSpPr/>
      </xdr:nvGrpSpPr>
      <xdr:grpSpPr>
        <a:xfrm>
          <a:off x="285750" y="12315825"/>
          <a:ext cx="581025" cy="885825"/>
          <a:chOff x="5055488" y="3337088"/>
          <a:chExt cx="581025" cy="885825"/>
        </a:xfrm>
      </xdr:grpSpPr>
      <xdr:grpSp>
        <xdr:nvGrpSpPr>
          <xdr:cNvPr id="271" name="Shape 271">
            <a:extLst>
              <a:ext uri="{FF2B5EF4-FFF2-40B4-BE49-F238E27FC236}">
                <a16:creationId xmlns:a16="http://schemas.microsoft.com/office/drawing/2014/main" id="{00000000-0008-0000-3300-00000F010000}"/>
              </a:ext>
            </a:extLst>
          </xdr:cNvPr>
          <xdr:cNvGrpSpPr/>
        </xdr:nvGrpSpPr>
        <xdr:grpSpPr>
          <a:xfrm>
            <a:off x="5055488" y="3337088"/>
            <a:ext cx="581025" cy="885825"/>
            <a:chOff x="5060250" y="3341850"/>
            <a:chExt cx="571500" cy="876300"/>
          </a:xfrm>
        </xdr:grpSpPr>
        <xdr:sp macro="" textlink="">
          <xdr:nvSpPr>
            <xdr:cNvPr id="21" name="Shape 4">
              <a:extLst>
                <a:ext uri="{FF2B5EF4-FFF2-40B4-BE49-F238E27FC236}">
                  <a16:creationId xmlns:a16="http://schemas.microsoft.com/office/drawing/2014/main" id="{00000000-0008-0000-3300-000015000000}"/>
                </a:ext>
              </a:extLst>
            </xdr:cNvPr>
            <xdr:cNvSpPr/>
          </xdr:nvSpPr>
          <xdr:spPr>
            <a:xfrm>
              <a:off x="5060250" y="3341850"/>
              <a:ext cx="5715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2" name="Shape 272">
              <a:extLst>
                <a:ext uri="{FF2B5EF4-FFF2-40B4-BE49-F238E27FC236}">
                  <a16:creationId xmlns:a16="http://schemas.microsoft.com/office/drawing/2014/main" id="{00000000-0008-0000-3300-000010010000}"/>
                </a:ext>
              </a:extLst>
            </xdr:cNvPr>
            <xdr:cNvCxnSpPr/>
          </xdr:nvCxnSpPr>
          <xdr:spPr>
            <a:xfrm flipH="1">
              <a:off x="5060250" y="3341850"/>
              <a:ext cx="571500" cy="8763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190500</xdr:colOff>
      <xdr:row>61</xdr:row>
      <xdr:rowOff>0</xdr:rowOff>
    </xdr:from>
    <xdr:ext cx="971550" cy="1466850"/>
    <xdr:grpSp>
      <xdr:nvGrpSpPr>
        <xdr:cNvPr id="22" name="Shape 2">
          <a:extLst>
            <a:ext uri="{FF2B5EF4-FFF2-40B4-BE49-F238E27FC236}">
              <a16:creationId xmlns:a16="http://schemas.microsoft.com/office/drawing/2014/main" id="{00000000-0008-0000-3300-000016000000}"/>
            </a:ext>
          </a:extLst>
        </xdr:cNvPr>
        <xdr:cNvGrpSpPr/>
      </xdr:nvGrpSpPr>
      <xdr:grpSpPr>
        <a:xfrm>
          <a:off x="190500" y="12315825"/>
          <a:ext cx="971550" cy="1466850"/>
          <a:chOff x="4860225" y="3046575"/>
          <a:chExt cx="971550" cy="1466850"/>
        </a:xfrm>
      </xdr:grpSpPr>
      <xdr:grpSp>
        <xdr:nvGrpSpPr>
          <xdr:cNvPr id="273" name="Shape 273">
            <a:extLst>
              <a:ext uri="{FF2B5EF4-FFF2-40B4-BE49-F238E27FC236}">
                <a16:creationId xmlns:a16="http://schemas.microsoft.com/office/drawing/2014/main" id="{00000000-0008-0000-3300-000011010000}"/>
              </a:ext>
            </a:extLst>
          </xdr:cNvPr>
          <xdr:cNvGrpSpPr/>
        </xdr:nvGrpSpPr>
        <xdr:grpSpPr>
          <a:xfrm>
            <a:off x="4860225" y="3046575"/>
            <a:ext cx="971550" cy="1466850"/>
            <a:chOff x="4864988" y="3051338"/>
            <a:chExt cx="962025" cy="1457325"/>
          </a:xfrm>
        </xdr:grpSpPr>
        <xdr:sp macro="" textlink="">
          <xdr:nvSpPr>
            <xdr:cNvPr id="23" name="Shape 4">
              <a:extLst>
                <a:ext uri="{FF2B5EF4-FFF2-40B4-BE49-F238E27FC236}">
                  <a16:creationId xmlns:a16="http://schemas.microsoft.com/office/drawing/2014/main" id="{00000000-0008-0000-3300-000017000000}"/>
                </a:ext>
              </a:extLst>
            </xdr:cNvPr>
            <xdr:cNvSpPr/>
          </xdr:nvSpPr>
          <xdr:spPr>
            <a:xfrm>
              <a:off x="4864988" y="3051338"/>
              <a:ext cx="962025" cy="1457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4" name="Shape 274">
              <a:extLst>
                <a:ext uri="{FF2B5EF4-FFF2-40B4-BE49-F238E27FC236}">
                  <a16:creationId xmlns:a16="http://schemas.microsoft.com/office/drawing/2014/main" id="{00000000-0008-0000-3300-000012010000}"/>
                </a:ext>
              </a:extLst>
            </xdr:cNvPr>
            <xdr:cNvCxnSpPr/>
          </xdr:nvCxnSpPr>
          <xdr:spPr>
            <a:xfrm flipH="1">
              <a:off x="4864988" y="3051338"/>
              <a:ext cx="962025" cy="14573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171450</xdr:colOff>
      <xdr:row>61</xdr:row>
      <xdr:rowOff>9525</xdr:rowOff>
    </xdr:from>
    <xdr:ext cx="1457325" cy="1962150"/>
    <xdr:grpSp>
      <xdr:nvGrpSpPr>
        <xdr:cNvPr id="24" name="Shape 2">
          <a:extLst>
            <a:ext uri="{FF2B5EF4-FFF2-40B4-BE49-F238E27FC236}">
              <a16:creationId xmlns:a16="http://schemas.microsoft.com/office/drawing/2014/main" id="{00000000-0008-0000-3300-000018000000}"/>
            </a:ext>
          </a:extLst>
        </xdr:cNvPr>
        <xdr:cNvGrpSpPr/>
      </xdr:nvGrpSpPr>
      <xdr:grpSpPr>
        <a:xfrm>
          <a:off x="171450" y="12325350"/>
          <a:ext cx="1457325" cy="1962150"/>
          <a:chOff x="4617338" y="2798925"/>
          <a:chExt cx="1457325" cy="1962150"/>
        </a:xfrm>
      </xdr:grpSpPr>
      <xdr:grpSp>
        <xdr:nvGrpSpPr>
          <xdr:cNvPr id="275" name="Shape 275">
            <a:extLst>
              <a:ext uri="{FF2B5EF4-FFF2-40B4-BE49-F238E27FC236}">
                <a16:creationId xmlns:a16="http://schemas.microsoft.com/office/drawing/2014/main" id="{00000000-0008-0000-3300-000013010000}"/>
              </a:ext>
            </a:extLst>
          </xdr:cNvPr>
          <xdr:cNvGrpSpPr/>
        </xdr:nvGrpSpPr>
        <xdr:grpSpPr>
          <a:xfrm>
            <a:off x="4617338" y="2798925"/>
            <a:ext cx="1457325" cy="1962150"/>
            <a:chOff x="4622100" y="2803688"/>
            <a:chExt cx="1447800" cy="1952625"/>
          </a:xfrm>
        </xdr:grpSpPr>
        <xdr:sp macro="" textlink="">
          <xdr:nvSpPr>
            <xdr:cNvPr id="25" name="Shape 4">
              <a:extLst>
                <a:ext uri="{FF2B5EF4-FFF2-40B4-BE49-F238E27FC236}">
                  <a16:creationId xmlns:a16="http://schemas.microsoft.com/office/drawing/2014/main" id="{00000000-0008-0000-3300-000019000000}"/>
                </a:ext>
              </a:extLst>
            </xdr:cNvPr>
            <xdr:cNvSpPr/>
          </xdr:nvSpPr>
          <xdr:spPr>
            <a:xfrm>
              <a:off x="4622100" y="2803688"/>
              <a:ext cx="1447800" cy="1952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6" name="Shape 276">
              <a:extLst>
                <a:ext uri="{FF2B5EF4-FFF2-40B4-BE49-F238E27FC236}">
                  <a16:creationId xmlns:a16="http://schemas.microsoft.com/office/drawing/2014/main" id="{00000000-0008-0000-3300-000014010000}"/>
                </a:ext>
              </a:extLst>
            </xdr:cNvPr>
            <xdr:cNvCxnSpPr/>
          </xdr:nvCxnSpPr>
          <xdr:spPr>
            <a:xfrm flipH="1">
              <a:off x="4622100" y="2803688"/>
              <a:ext cx="1447800" cy="19526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304800</xdr:colOff>
      <xdr:row>87</xdr:row>
      <xdr:rowOff>9525</xdr:rowOff>
    </xdr:from>
    <xdr:ext cx="180975" cy="219075"/>
    <xdr:grpSp>
      <xdr:nvGrpSpPr>
        <xdr:cNvPr id="26" name="Shape 2">
          <a:extLst>
            <a:ext uri="{FF2B5EF4-FFF2-40B4-BE49-F238E27FC236}">
              <a16:creationId xmlns:a16="http://schemas.microsoft.com/office/drawing/2014/main" id="{00000000-0008-0000-3300-00001A000000}"/>
            </a:ext>
          </a:extLst>
        </xdr:cNvPr>
        <xdr:cNvGrpSpPr/>
      </xdr:nvGrpSpPr>
      <xdr:grpSpPr>
        <a:xfrm>
          <a:off x="304800" y="17526000"/>
          <a:ext cx="180975" cy="219075"/>
          <a:chOff x="5255513" y="3670463"/>
          <a:chExt cx="180975" cy="219075"/>
        </a:xfrm>
      </xdr:grpSpPr>
      <xdr:grpSp>
        <xdr:nvGrpSpPr>
          <xdr:cNvPr id="277" name="Shape 277">
            <a:extLst>
              <a:ext uri="{FF2B5EF4-FFF2-40B4-BE49-F238E27FC236}">
                <a16:creationId xmlns:a16="http://schemas.microsoft.com/office/drawing/2014/main" id="{00000000-0008-0000-3300-000015010000}"/>
              </a:ext>
            </a:extLst>
          </xdr:cNvPr>
          <xdr:cNvGrpSpPr/>
        </xdr:nvGrpSpPr>
        <xdr:grpSpPr>
          <a:xfrm>
            <a:off x="5255513" y="3670463"/>
            <a:ext cx="180975" cy="219075"/>
            <a:chOff x="5260275" y="3675225"/>
            <a:chExt cx="171450" cy="209550"/>
          </a:xfrm>
        </xdr:grpSpPr>
        <xdr:sp macro="" textlink="">
          <xdr:nvSpPr>
            <xdr:cNvPr id="27" name="Shape 4">
              <a:extLst>
                <a:ext uri="{FF2B5EF4-FFF2-40B4-BE49-F238E27FC236}">
                  <a16:creationId xmlns:a16="http://schemas.microsoft.com/office/drawing/2014/main" id="{00000000-0008-0000-3300-00001B000000}"/>
                </a:ext>
              </a:extLst>
            </xdr:cNvPr>
            <xdr:cNvSpPr/>
          </xdr:nvSpPr>
          <xdr:spPr>
            <a:xfrm>
              <a:off x="5260275" y="3675225"/>
              <a:ext cx="17145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8" name="Shape 278">
              <a:extLst>
                <a:ext uri="{FF2B5EF4-FFF2-40B4-BE49-F238E27FC236}">
                  <a16:creationId xmlns:a16="http://schemas.microsoft.com/office/drawing/2014/main" id="{00000000-0008-0000-3300-000016010000}"/>
                </a:ext>
              </a:extLst>
            </xdr:cNvPr>
            <xdr:cNvCxnSpPr/>
          </xdr:nvCxnSpPr>
          <xdr:spPr>
            <a:xfrm flipH="1">
              <a:off x="5260275" y="3675225"/>
              <a:ext cx="171450" cy="2095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285750</xdr:colOff>
      <xdr:row>87</xdr:row>
      <xdr:rowOff>0</xdr:rowOff>
    </xdr:from>
    <xdr:ext cx="581025" cy="885825"/>
    <xdr:grpSp>
      <xdr:nvGrpSpPr>
        <xdr:cNvPr id="28" name="Shape 2">
          <a:extLst>
            <a:ext uri="{FF2B5EF4-FFF2-40B4-BE49-F238E27FC236}">
              <a16:creationId xmlns:a16="http://schemas.microsoft.com/office/drawing/2014/main" id="{00000000-0008-0000-3300-00001C000000}"/>
            </a:ext>
          </a:extLst>
        </xdr:cNvPr>
        <xdr:cNvGrpSpPr/>
      </xdr:nvGrpSpPr>
      <xdr:grpSpPr>
        <a:xfrm>
          <a:off x="285750" y="17516475"/>
          <a:ext cx="581025" cy="885825"/>
          <a:chOff x="5055488" y="3337088"/>
          <a:chExt cx="581025" cy="885825"/>
        </a:xfrm>
      </xdr:grpSpPr>
      <xdr:grpSp>
        <xdr:nvGrpSpPr>
          <xdr:cNvPr id="279" name="Shape 279">
            <a:extLst>
              <a:ext uri="{FF2B5EF4-FFF2-40B4-BE49-F238E27FC236}">
                <a16:creationId xmlns:a16="http://schemas.microsoft.com/office/drawing/2014/main" id="{00000000-0008-0000-3300-000017010000}"/>
              </a:ext>
            </a:extLst>
          </xdr:cNvPr>
          <xdr:cNvGrpSpPr/>
        </xdr:nvGrpSpPr>
        <xdr:grpSpPr>
          <a:xfrm>
            <a:off x="5055488" y="3337088"/>
            <a:ext cx="581025" cy="885825"/>
            <a:chOff x="5060250" y="3341850"/>
            <a:chExt cx="571500" cy="876300"/>
          </a:xfrm>
        </xdr:grpSpPr>
        <xdr:sp macro="" textlink="">
          <xdr:nvSpPr>
            <xdr:cNvPr id="29" name="Shape 4">
              <a:extLst>
                <a:ext uri="{FF2B5EF4-FFF2-40B4-BE49-F238E27FC236}">
                  <a16:creationId xmlns:a16="http://schemas.microsoft.com/office/drawing/2014/main" id="{00000000-0008-0000-3300-00001D000000}"/>
                </a:ext>
              </a:extLst>
            </xdr:cNvPr>
            <xdr:cNvSpPr/>
          </xdr:nvSpPr>
          <xdr:spPr>
            <a:xfrm>
              <a:off x="5060250" y="3341850"/>
              <a:ext cx="5715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0" name="Shape 280">
              <a:extLst>
                <a:ext uri="{FF2B5EF4-FFF2-40B4-BE49-F238E27FC236}">
                  <a16:creationId xmlns:a16="http://schemas.microsoft.com/office/drawing/2014/main" id="{00000000-0008-0000-3300-000018010000}"/>
                </a:ext>
              </a:extLst>
            </xdr:cNvPr>
            <xdr:cNvCxnSpPr/>
          </xdr:nvCxnSpPr>
          <xdr:spPr>
            <a:xfrm flipH="1">
              <a:off x="5060250" y="3341850"/>
              <a:ext cx="571500" cy="87630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190500</xdr:colOff>
      <xdr:row>87</xdr:row>
      <xdr:rowOff>0</xdr:rowOff>
    </xdr:from>
    <xdr:ext cx="971550" cy="1466850"/>
    <xdr:grpSp>
      <xdr:nvGrpSpPr>
        <xdr:cNvPr id="30" name="Shape 2">
          <a:extLst>
            <a:ext uri="{FF2B5EF4-FFF2-40B4-BE49-F238E27FC236}">
              <a16:creationId xmlns:a16="http://schemas.microsoft.com/office/drawing/2014/main" id="{00000000-0008-0000-3300-00001E000000}"/>
            </a:ext>
          </a:extLst>
        </xdr:cNvPr>
        <xdr:cNvGrpSpPr/>
      </xdr:nvGrpSpPr>
      <xdr:grpSpPr>
        <a:xfrm>
          <a:off x="190500" y="17516475"/>
          <a:ext cx="971550" cy="1466850"/>
          <a:chOff x="4860225" y="3046575"/>
          <a:chExt cx="971550" cy="1466850"/>
        </a:xfrm>
      </xdr:grpSpPr>
      <xdr:grpSp>
        <xdr:nvGrpSpPr>
          <xdr:cNvPr id="281" name="Shape 281">
            <a:extLst>
              <a:ext uri="{FF2B5EF4-FFF2-40B4-BE49-F238E27FC236}">
                <a16:creationId xmlns:a16="http://schemas.microsoft.com/office/drawing/2014/main" id="{00000000-0008-0000-3300-000019010000}"/>
              </a:ext>
            </a:extLst>
          </xdr:cNvPr>
          <xdr:cNvGrpSpPr/>
        </xdr:nvGrpSpPr>
        <xdr:grpSpPr>
          <a:xfrm>
            <a:off x="4860225" y="3046575"/>
            <a:ext cx="971550" cy="1466850"/>
            <a:chOff x="4864988" y="3051338"/>
            <a:chExt cx="962025" cy="1457325"/>
          </a:xfrm>
        </xdr:grpSpPr>
        <xdr:sp macro="" textlink="">
          <xdr:nvSpPr>
            <xdr:cNvPr id="31" name="Shape 4">
              <a:extLst>
                <a:ext uri="{FF2B5EF4-FFF2-40B4-BE49-F238E27FC236}">
                  <a16:creationId xmlns:a16="http://schemas.microsoft.com/office/drawing/2014/main" id="{00000000-0008-0000-3300-00001F000000}"/>
                </a:ext>
              </a:extLst>
            </xdr:cNvPr>
            <xdr:cNvSpPr/>
          </xdr:nvSpPr>
          <xdr:spPr>
            <a:xfrm>
              <a:off x="4864988" y="3051338"/>
              <a:ext cx="962025" cy="1457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2" name="Shape 282">
              <a:extLst>
                <a:ext uri="{FF2B5EF4-FFF2-40B4-BE49-F238E27FC236}">
                  <a16:creationId xmlns:a16="http://schemas.microsoft.com/office/drawing/2014/main" id="{00000000-0008-0000-3300-00001A010000}"/>
                </a:ext>
              </a:extLst>
            </xdr:cNvPr>
            <xdr:cNvCxnSpPr/>
          </xdr:nvCxnSpPr>
          <xdr:spPr>
            <a:xfrm flipH="1">
              <a:off x="4864988" y="3051338"/>
              <a:ext cx="962025" cy="14573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0</xdr:col>
      <xdr:colOff>171450</xdr:colOff>
      <xdr:row>87</xdr:row>
      <xdr:rowOff>9525</xdr:rowOff>
    </xdr:from>
    <xdr:ext cx="1457325" cy="1962150"/>
    <xdr:grpSp>
      <xdr:nvGrpSpPr>
        <xdr:cNvPr id="32" name="Shape 2">
          <a:extLst>
            <a:ext uri="{FF2B5EF4-FFF2-40B4-BE49-F238E27FC236}">
              <a16:creationId xmlns:a16="http://schemas.microsoft.com/office/drawing/2014/main" id="{00000000-0008-0000-3300-000020000000}"/>
            </a:ext>
          </a:extLst>
        </xdr:cNvPr>
        <xdr:cNvGrpSpPr/>
      </xdr:nvGrpSpPr>
      <xdr:grpSpPr>
        <a:xfrm>
          <a:off x="171450" y="17526000"/>
          <a:ext cx="1457325" cy="1962150"/>
          <a:chOff x="4617338" y="2798925"/>
          <a:chExt cx="1457325" cy="1962150"/>
        </a:xfrm>
      </xdr:grpSpPr>
      <xdr:grpSp>
        <xdr:nvGrpSpPr>
          <xdr:cNvPr id="283" name="Shape 283">
            <a:extLst>
              <a:ext uri="{FF2B5EF4-FFF2-40B4-BE49-F238E27FC236}">
                <a16:creationId xmlns:a16="http://schemas.microsoft.com/office/drawing/2014/main" id="{00000000-0008-0000-3300-00001B010000}"/>
              </a:ext>
            </a:extLst>
          </xdr:cNvPr>
          <xdr:cNvGrpSpPr/>
        </xdr:nvGrpSpPr>
        <xdr:grpSpPr>
          <a:xfrm>
            <a:off x="4617338" y="2798925"/>
            <a:ext cx="1457325" cy="1962150"/>
            <a:chOff x="4622100" y="2803688"/>
            <a:chExt cx="1447800" cy="1952625"/>
          </a:xfrm>
        </xdr:grpSpPr>
        <xdr:sp macro="" textlink="">
          <xdr:nvSpPr>
            <xdr:cNvPr id="33" name="Shape 4">
              <a:extLst>
                <a:ext uri="{FF2B5EF4-FFF2-40B4-BE49-F238E27FC236}">
                  <a16:creationId xmlns:a16="http://schemas.microsoft.com/office/drawing/2014/main" id="{00000000-0008-0000-3300-000021000000}"/>
                </a:ext>
              </a:extLst>
            </xdr:cNvPr>
            <xdr:cNvSpPr/>
          </xdr:nvSpPr>
          <xdr:spPr>
            <a:xfrm>
              <a:off x="4622100" y="2803688"/>
              <a:ext cx="1447800" cy="1952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4" name="Shape 284">
              <a:extLst>
                <a:ext uri="{FF2B5EF4-FFF2-40B4-BE49-F238E27FC236}">
                  <a16:creationId xmlns:a16="http://schemas.microsoft.com/office/drawing/2014/main" id="{00000000-0008-0000-3300-00001C010000}"/>
                </a:ext>
              </a:extLst>
            </xdr:cNvPr>
            <xdr:cNvCxnSpPr/>
          </xdr:nvCxnSpPr>
          <xdr:spPr>
            <a:xfrm flipH="1">
              <a:off x="4622100" y="2803688"/>
              <a:ext cx="1447800" cy="19526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133350</xdr:colOff>
      <xdr:row>0</xdr:row>
      <xdr:rowOff>0</xdr:rowOff>
    </xdr:from>
    <xdr:ext cx="1571625" cy="609600"/>
    <xdr:pic>
      <xdr:nvPicPr>
        <xdr:cNvPr id="34" name="image1.jpg">
          <a:extLst>
            <a:ext uri="{FF2B5EF4-FFF2-40B4-BE49-F238E27FC236}">
              <a16:creationId xmlns:a16="http://schemas.microsoft.com/office/drawing/2014/main" id="{00000000-0008-0000-3300-00002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dr:oneCellAnchor>
    <xdr:from>
      <xdr:col>11</xdr:col>
      <xdr:colOff>533400</xdr:colOff>
      <xdr:row>0</xdr:row>
      <xdr:rowOff>180975</xdr:rowOff>
    </xdr:from>
    <xdr:ext cx="4029075" cy="1457325"/>
    <xdr:pic>
      <xdr:nvPicPr>
        <xdr:cNvPr id="2" name="image4.jpg" descr="An example of the Vlookup function">
          <a:extLst>
            <a:ext uri="{FF2B5EF4-FFF2-40B4-BE49-F238E27FC236}">
              <a16:creationId xmlns:a16="http://schemas.microsoft.com/office/drawing/2014/main" id="{00000000-0008-0000-3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533400</xdr:colOff>
      <xdr:row>12</xdr:row>
      <xdr:rowOff>9525</xdr:rowOff>
    </xdr:from>
    <xdr:ext cx="4029075" cy="2314575"/>
    <xdr:pic>
      <xdr:nvPicPr>
        <xdr:cNvPr id="3" name="image5.jpg" descr="Entering the arguments">
          <a:extLst>
            <a:ext uri="{FF2B5EF4-FFF2-40B4-BE49-F238E27FC236}">
              <a16:creationId xmlns:a16="http://schemas.microsoft.com/office/drawing/2014/main" id="{00000000-0008-0000-3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dr:oneCellAnchor>
    <xdr:from>
      <xdr:col>1</xdr:col>
      <xdr:colOff>38100</xdr:colOff>
      <xdr:row>1</xdr:row>
      <xdr:rowOff>66675</xdr:rowOff>
    </xdr:from>
    <xdr:ext cx="4029075" cy="1143000"/>
    <xdr:pic>
      <xdr:nvPicPr>
        <xdr:cNvPr id="2" name="image3.jpg" descr="Hlookup example">
          <a:extLst>
            <a:ext uri="{FF2B5EF4-FFF2-40B4-BE49-F238E27FC236}">
              <a16:creationId xmlns:a16="http://schemas.microsoft.com/office/drawing/2014/main" id="{00000000-0008-0000-3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571500</xdr:colOff>
      <xdr:row>10</xdr:row>
      <xdr:rowOff>266700</xdr:rowOff>
    </xdr:from>
    <xdr:ext cx="3771900" cy="2209800"/>
    <xdr:pic>
      <xdr:nvPicPr>
        <xdr:cNvPr id="3" name="image2.jpg" descr="Writing the formula arguments">
          <a:extLst>
            <a:ext uri="{FF2B5EF4-FFF2-40B4-BE49-F238E27FC236}">
              <a16:creationId xmlns:a16="http://schemas.microsoft.com/office/drawing/2014/main" id="{00000000-0008-0000-3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showGridLines="0" topLeftCell="A10" workbookViewId="0"/>
  </sheetViews>
  <sheetFormatPr defaultColWidth="14.42578125" defaultRowHeight="15" customHeight="1"/>
  <cols>
    <col min="1" max="1" width="10" customWidth="1"/>
    <col min="2" max="2" width="11.5703125" customWidth="1"/>
    <col min="3" max="3" width="10.140625" customWidth="1"/>
    <col min="4" max="8" width="8.7109375" customWidth="1"/>
    <col min="9" max="9" width="10.140625" customWidth="1"/>
    <col min="10" max="10" width="12.140625" customWidth="1"/>
    <col min="11" max="11" width="11.28515625" customWidth="1"/>
    <col min="12" max="12" width="10.140625" customWidth="1"/>
  </cols>
  <sheetData>
    <row r="1" spans="1:12" ht="31.5">
      <c r="A1" s="1" t="s">
        <v>0</v>
      </c>
      <c r="B1" s="2"/>
      <c r="C1" s="2"/>
      <c r="D1" s="2"/>
      <c r="E1" s="2"/>
      <c r="F1" s="2"/>
      <c r="G1" s="2"/>
      <c r="H1" s="2"/>
      <c r="I1" s="2"/>
      <c r="J1" s="2"/>
      <c r="K1" s="2"/>
      <c r="L1" s="2"/>
    </row>
    <row r="3" spans="1:12" ht="18.75">
      <c r="A3" s="3" t="s">
        <v>1</v>
      </c>
    </row>
    <row r="4" spans="1:12">
      <c r="A4" s="4" t="s">
        <v>2</v>
      </c>
    </row>
    <row r="6" spans="1:12" ht="18.75">
      <c r="A6" s="3" t="s">
        <v>3</v>
      </c>
    </row>
    <row r="7" spans="1:12" ht="15.75">
      <c r="A7" s="5" t="s">
        <v>4</v>
      </c>
    </row>
    <row r="9" spans="1:12" ht="15.75">
      <c r="A9" s="6" t="s">
        <v>5</v>
      </c>
    </row>
    <row r="10" spans="1:12">
      <c r="A10" s="141" t="s">
        <v>6</v>
      </c>
      <c r="B10" s="142"/>
      <c r="C10" s="142"/>
      <c r="D10" s="142"/>
      <c r="E10" s="142"/>
      <c r="F10" s="142"/>
      <c r="G10" s="142"/>
      <c r="H10" s="142"/>
      <c r="I10" s="142"/>
      <c r="J10" s="142"/>
      <c r="K10" s="142"/>
    </row>
    <row r="11" spans="1:12" ht="15" customHeight="1">
      <c r="A11" s="142"/>
      <c r="B11" s="142"/>
      <c r="C11" s="142"/>
      <c r="D11" s="142"/>
      <c r="E11" s="142"/>
      <c r="F11" s="142"/>
      <c r="G11" s="142"/>
      <c r="H11" s="142"/>
      <c r="I11" s="142"/>
      <c r="J11" s="142"/>
      <c r="K11" s="142"/>
    </row>
    <row r="12" spans="1:12">
      <c r="A12" s="7"/>
      <c r="B12" s="7"/>
      <c r="C12" s="7"/>
      <c r="D12" s="7"/>
      <c r="E12" s="7"/>
      <c r="F12" s="7"/>
      <c r="G12" s="7"/>
      <c r="H12" s="7"/>
      <c r="I12" s="7"/>
      <c r="J12" s="7"/>
      <c r="K12" s="7"/>
    </row>
    <row r="13" spans="1:12" ht="15.75">
      <c r="A13" s="6" t="s">
        <v>7</v>
      </c>
    </row>
    <row r="14" spans="1:12">
      <c r="A14" s="4" t="s">
        <v>8</v>
      </c>
    </row>
    <row r="16" spans="1:12" ht="15.75">
      <c r="A16" s="6" t="s">
        <v>9</v>
      </c>
    </row>
    <row r="17" spans="1:11">
      <c r="A17" s="4" t="s">
        <v>10</v>
      </c>
    </row>
    <row r="19" spans="1:11" ht="15.75">
      <c r="A19" s="6" t="s">
        <v>11</v>
      </c>
    </row>
    <row r="20" spans="1:11">
      <c r="A20" s="4" t="s">
        <v>12</v>
      </c>
    </row>
    <row r="21" spans="1:11" ht="15.75" customHeight="1">
      <c r="A21" s="8" t="s">
        <v>13</v>
      </c>
      <c r="B21" s="8" t="s">
        <v>14</v>
      </c>
      <c r="C21" s="8" t="s">
        <v>15</v>
      </c>
      <c r="D21" s="143" t="s">
        <v>16</v>
      </c>
      <c r="E21" s="144"/>
      <c r="F21" s="145"/>
    </row>
    <row r="22" spans="1:11" ht="15.75" customHeight="1">
      <c r="A22" s="9" t="s">
        <v>17</v>
      </c>
      <c r="B22" s="9">
        <v>90</v>
      </c>
      <c r="C22" s="8" t="str">
        <f t="shared" ref="C22:C25" si="0">IF(B22&gt;=40,"Pass","Fail")</f>
        <v>Pass</v>
      </c>
      <c r="D22" s="146" t="s">
        <v>18</v>
      </c>
      <c r="E22" s="144"/>
      <c r="F22" s="145"/>
    </row>
    <row r="23" spans="1:11" ht="15.75" customHeight="1">
      <c r="A23" s="9" t="s">
        <v>19</v>
      </c>
      <c r="B23" s="9">
        <v>70</v>
      </c>
      <c r="C23" s="8" t="str">
        <f t="shared" si="0"/>
        <v>Pass</v>
      </c>
      <c r="D23" s="146" t="s">
        <v>20</v>
      </c>
      <c r="E23" s="144"/>
      <c r="F23" s="145"/>
    </row>
    <row r="24" spans="1:11" ht="15.75" customHeight="1">
      <c r="A24" s="9" t="s">
        <v>21</v>
      </c>
      <c r="B24" s="9">
        <v>20</v>
      </c>
      <c r="C24" s="8" t="str">
        <f t="shared" si="0"/>
        <v>Fail</v>
      </c>
      <c r="D24" s="146" t="s">
        <v>22</v>
      </c>
      <c r="E24" s="144"/>
      <c r="F24" s="145"/>
    </row>
    <row r="25" spans="1:11" ht="15.75" customHeight="1">
      <c r="A25" s="9" t="s">
        <v>23</v>
      </c>
      <c r="B25" s="9">
        <v>41</v>
      </c>
      <c r="C25" s="8" t="str">
        <f t="shared" si="0"/>
        <v>Pass</v>
      </c>
      <c r="D25" s="146" t="s">
        <v>24</v>
      </c>
      <c r="E25" s="144"/>
      <c r="F25" s="145"/>
    </row>
    <row r="26" spans="1:11" ht="15.75" customHeight="1"/>
    <row r="27" spans="1:11" ht="15.75" customHeight="1">
      <c r="A27" s="6" t="s">
        <v>25</v>
      </c>
    </row>
    <row r="28" spans="1:11" ht="15" customHeight="1">
      <c r="A28" s="141" t="s">
        <v>26</v>
      </c>
      <c r="B28" s="142"/>
      <c r="C28" s="142"/>
      <c r="D28" s="142"/>
      <c r="E28" s="142"/>
      <c r="F28" s="142"/>
      <c r="G28" s="142"/>
      <c r="H28" s="142"/>
      <c r="I28" s="142"/>
      <c r="J28" s="142"/>
      <c r="K28" s="142"/>
    </row>
    <row r="29" spans="1:11" ht="15.75" customHeight="1">
      <c r="A29" s="142"/>
      <c r="B29" s="142"/>
      <c r="C29" s="142"/>
      <c r="D29" s="142"/>
      <c r="E29" s="142"/>
      <c r="F29" s="142"/>
      <c r="G29" s="142"/>
      <c r="H29" s="142"/>
      <c r="I29" s="142"/>
      <c r="J29" s="142"/>
      <c r="K29" s="142"/>
    </row>
    <row r="30" spans="1:11" ht="15.75" customHeight="1">
      <c r="A30" s="7"/>
      <c r="B30" s="7"/>
      <c r="C30" s="7"/>
      <c r="D30" s="7"/>
      <c r="E30" s="7"/>
      <c r="F30" s="7"/>
      <c r="G30" s="7"/>
      <c r="H30" s="7"/>
      <c r="I30" s="7"/>
      <c r="J30" s="7"/>
    </row>
    <row r="31" spans="1:11" ht="15.75" customHeight="1">
      <c r="A31" s="6" t="s">
        <v>27</v>
      </c>
    </row>
    <row r="32" spans="1:11" ht="15.75" customHeight="1">
      <c r="A32" s="4" t="s">
        <v>28</v>
      </c>
    </row>
    <row r="33" spans="1:3" ht="15.75" customHeight="1">
      <c r="A33" s="8" t="s">
        <v>29</v>
      </c>
      <c r="B33" s="8" t="s">
        <v>30</v>
      </c>
      <c r="C33" s="8" t="s">
        <v>31</v>
      </c>
    </row>
    <row r="34" spans="1:3" ht="15.75" customHeight="1">
      <c r="A34" s="9" t="s">
        <v>32</v>
      </c>
      <c r="B34" s="9" t="s">
        <v>33</v>
      </c>
      <c r="C34" s="11">
        <f t="shared" ref="C34:C37" si="1">IF(B34="AVP", 2000, IF(B34="Analyst", 1000, 0))</f>
        <v>2000</v>
      </c>
    </row>
    <row r="35" spans="1:3" ht="15.75" customHeight="1">
      <c r="A35" s="9" t="s">
        <v>34</v>
      </c>
      <c r="B35" s="9" t="s">
        <v>35</v>
      </c>
      <c r="C35" s="11">
        <f t="shared" si="1"/>
        <v>1000</v>
      </c>
    </row>
    <row r="36" spans="1:3" ht="15.75" customHeight="1">
      <c r="A36" s="9" t="s">
        <v>36</v>
      </c>
      <c r="B36" s="9" t="s">
        <v>35</v>
      </c>
      <c r="C36" s="11">
        <f t="shared" si="1"/>
        <v>1000</v>
      </c>
    </row>
    <row r="37" spans="1:3" ht="15.75" customHeight="1">
      <c r="A37" s="9" t="s">
        <v>37</v>
      </c>
      <c r="B37" s="9" t="s">
        <v>35</v>
      </c>
      <c r="C37" s="11">
        <f t="shared" si="1"/>
        <v>1000</v>
      </c>
    </row>
    <row r="38" spans="1:3" ht="15.75" customHeight="1"/>
    <row r="39" spans="1:3" ht="15.75" customHeight="1"/>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25:F25"/>
    <mergeCell ref="A28:K29"/>
    <mergeCell ref="A10:K11"/>
    <mergeCell ref="D21:F21"/>
    <mergeCell ref="D22:F22"/>
    <mergeCell ref="D23:F23"/>
    <mergeCell ref="D24:F24"/>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showGridLines="0" topLeftCell="A19" workbookViewId="0"/>
  </sheetViews>
  <sheetFormatPr defaultColWidth="14.42578125" defaultRowHeight="15" customHeight="1"/>
  <cols>
    <col min="1" max="1" width="11" customWidth="1"/>
    <col min="2" max="2" width="12.85546875" customWidth="1"/>
    <col min="3" max="3" width="10.140625" customWidth="1"/>
    <col min="4" max="4" width="15.42578125" customWidth="1"/>
    <col min="5" max="5" width="15.85546875" customWidth="1"/>
    <col min="6" max="6" width="8.7109375" customWidth="1"/>
    <col min="7" max="7" width="10.28515625" customWidth="1"/>
    <col min="8" max="9" width="8.7109375" customWidth="1"/>
    <col min="10" max="10" width="10.140625" customWidth="1"/>
    <col min="11" max="11" width="11.28515625" customWidth="1"/>
    <col min="12" max="12" width="10.140625" customWidth="1"/>
  </cols>
  <sheetData>
    <row r="1" spans="1:12" ht="31.5">
      <c r="A1" s="1" t="s">
        <v>38</v>
      </c>
      <c r="B1" s="2"/>
      <c r="C1" s="2"/>
      <c r="D1" s="2"/>
      <c r="E1" s="2"/>
      <c r="F1" s="2"/>
      <c r="G1" s="2"/>
      <c r="H1" s="2"/>
      <c r="I1" s="2"/>
      <c r="J1" s="2"/>
      <c r="K1" s="2"/>
      <c r="L1" s="2"/>
    </row>
    <row r="3" spans="1:12" ht="18.75">
      <c r="A3" s="3" t="s">
        <v>1</v>
      </c>
    </row>
    <row r="4" spans="1:12">
      <c r="A4" s="141" t="s">
        <v>39</v>
      </c>
      <c r="B4" s="142"/>
      <c r="C4" s="142"/>
      <c r="D4" s="142"/>
      <c r="E4" s="142"/>
      <c r="F4" s="142"/>
      <c r="G4" s="142"/>
      <c r="H4" s="142"/>
      <c r="I4" s="142"/>
      <c r="J4" s="142"/>
    </row>
    <row r="5" spans="1:12" ht="15" customHeight="1">
      <c r="A5" s="142"/>
      <c r="B5" s="142"/>
      <c r="C5" s="142"/>
      <c r="D5" s="142"/>
      <c r="E5" s="142"/>
      <c r="F5" s="142"/>
      <c r="G5" s="142"/>
      <c r="H5" s="142"/>
      <c r="I5" s="142"/>
      <c r="J5" s="142"/>
    </row>
    <row r="6" spans="1:12">
      <c r="A6" s="7"/>
      <c r="B6" s="7"/>
      <c r="C6" s="7"/>
      <c r="D6" s="7"/>
      <c r="E6" s="7"/>
      <c r="F6" s="7"/>
      <c r="G6" s="7"/>
      <c r="H6" s="7"/>
      <c r="I6" s="7"/>
      <c r="J6" s="7"/>
    </row>
    <row r="7" spans="1:12" ht="18.75">
      <c r="A7" s="3" t="s">
        <v>3</v>
      </c>
    </row>
    <row r="8" spans="1:12" ht="15.75">
      <c r="A8" s="5" t="s">
        <v>40</v>
      </c>
    </row>
    <row r="10" spans="1:12" ht="15.75">
      <c r="A10" s="6" t="s">
        <v>41</v>
      </c>
    </row>
    <row r="11" spans="1:12">
      <c r="A11" s="4" t="s">
        <v>42</v>
      </c>
    </row>
    <row r="13" spans="1:12" ht="15.75">
      <c r="A13" s="6" t="s">
        <v>43</v>
      </c>
    </row>
    <row r="14" spans="1:12">
      <c r="A14" s="4" t="s">
        <v>44</v>
      </c>
    </row>
    <row r="16" spans="1:12" ht="15.75">
      <c r="A16" s="6" t="s">
        <v>45</v>
      </c>
    </row>
    <row r="17" spans="1:10">
      <c r="A17" s="4" t="s">
        <v>46</v>
      </c>
    </row>
    <row r="18" spans="1:10">
      <c r="A18" s="8" t="s">
        <v>47</v>
      </c>
      <c r="B18" s="8" t="s">
        <v>48</v>
      </c>
      <c r="C18" s="8" t="s">
        <v>49</v>
      </c>
      <c r="D18" s="143" t="s">
        <v>16</v>
      </c>
      <c r="E18" s="145"/>
    </row>
    <row r="19" spans="1:10">
      <c r="A19" s="9">
        <v>1</v>
      </c>
      <c r="B19" s="9">
        <v>2</v>
      </c>
      <c r="C19" s="9" t="b">
        <f t="shared" ref="C19:C20" si="0">AND(A19&gt;0,B19&gt;0)</f>
        <v>1</v>
      </c>
      <c r="D19" s="146" t="s">
        <v>50</v>
      </c>
      <c r="E19" s="145"/>
    </row>
    <row r="20" spans="1:10">
      <c r="A20" s="9">
        <v>1</v>
      </c>
      <c r="B20" s="9">
        <v>-2</v>
      </c>
      <c r="C20" s="9" t="b">
        <f t="shared" si="0"/>
        <v>0</v>
      </c>
      <c r="D20" s="146" t="s">
        <v>51</v>
      </c>
      <c r="E20" s="145"/>
    </row>
    <row r="21" spans="1:10" ht="15.75" customHeight="1">
      <c r="A21" s="6"/>
    </row>
    <row r="22" spans="1:10" ht="15.75" customHeight="1">
      <c r="A22" s="6" t="s">
        <v>52</v>
      </c>
    </row>
    <row r="23" spans="1:10" ht="15.75" customHeight="1">
      <c r="A23" s="141" t="s">
        <v>53</v>
      </c>
      <c r="B23" s="142"/>
      <c r="C23" s="142"/>
      <c r="D23" s="142"/>
      <c r="E23" s="142"/>
      <c r="F23" s="142"/>
      <c r="G23" s="142"/>
      <c r="H23" s="142"/>
      <c r="I23" s="142"/>
      <c r="J23" s="142"/>
    </row>
    <row r="24" spans="1:10" ht="15.75" customHeight="1">
      <c r="A24" s="142"/>
      <c r="B24" s="142"/>
      <c r="C24" s="142"/>
      <c r="D24" s="142"/>
      <c r="E24" s="142"/>
      <c r="F24" s="142"/>
      <c r="G24" s="142"/>
      <c r="H24" s="142"/>
      <c r="I24" s="142"/>
      <c r="J24" s="142"/>
    </row>
    <row r="25" spans="1:10" ht="15.75" customHeight="1">
      <c r="A25" s="8" t="s">
        <v>13</v>
      </c>
      <c r="B25" s="8" t="s">
        <v>54</v>
      </c>
      <c r="C25" s="8" t="s">
        <v>55</v>
      </c>
      <c r="D25" s="8" t="s">
        <v>56</v>
      </c>
      <c r="E25" s="143" t="s">
        <v>16</v>
      </c>
      <c r="F25" s="144"/>
      <c r="G25" s="144"/>
      <c r="H25" s="144"/>
      <c r="I25" s="145"/>
    </row>
    <row r="26" spans="1:10" ht="15.75" customHeight="1">
      <c r="A26" s="9" t="s">
        <v>17</v>
      </c>
      <c r="B26" s="9" t="s">
        <v>57</v>
      </c>
      <c r="C26" s="9" t="s">
        <v>57</v>
      </c>
      <c r="D26" s="9" t="str">
        <f t="shared" ref="D26:D29" si="1">IF(AND(B26="PASS",C26="PASS"),"PASS","FAIL")</f>
        <v>PASS</v>
      </c>
      <c r="E26" s="146" t="s">
        <v>58</v>
      </c>
      <c r="F26" s="144"/>
      <c r="G26" s="144"/>
      <c r="H26" s="144"/>
      <c r="I26" s="145"/>
    </row>
    <row r="27" spans="1:10" ht="15.75" customHeight="1">
      <c r="A27" s="9" t="s">
        <v>19</v>
      </c>
      <c r="B27" s="9" t="s">
        <v>57</v>
      </c>
      <c r="C27" s="9" t="s">
        <v>59</v>
      </c>
      <c r="D27" s="9" t="str">
        <f t="shared" si="1"/>
        <v>FAIL</v>
      </c>
      <c r="E27" s="146" t="s">
        <v>60</v>
      </c>
      <c r="F27" s="144"/>
      <c r="G27" s="144"/>
      <c r="H27" s="144"/>
      <c r="I27" s="145"/>
    </row>
    <row r="28" spans="1:10" ht="15.75" customHeight="1">
      <c r="A28" s="9" t="s">
        <v>21</v>
      </c>
      <c r="B28" s="9" t="s">
        <v>59</v>
      </c>
      <c r="C28" s="9" t="s">
        <v>57</v>
      </c>
      <c r="D28" s="9" t="str">
        <f t="shared" si="1"/>
        <v>FAIL</v>
      </c>
      <c r="E28" s="146" t="s">
        <v>61</v>
      </c>
      <c r="F28" s="144"/>
      <c r="G28" s="144"/>
      <c r="H28" s="144"/>
      <c r="I28" s="145"/>
    </row>
    <row r="29" spans="1:10" ht="15.75" customHeight="1">
      <c r="A29" s="9" t="s">
        <v>23</v>
      </c>
      <c r="B29" s="9" t="s">
        <v>57</v>
      </c>
      <c r="C29" s="9" t="s">
        <v>57</v>
      </c>
      <c r="D29" s="9" t="str">
        <f t="shared" si="1"/>
        <v>PASS</v>
      </c>
      <c r="E29" s="146" t="s">
        <v>62</v>
      </c>
      <c r="F29" s="144"/>
      <c r="G29" s="144"/>
      <c r="H29" s="144"/>
      <c r="I29" s="145"/>
    </row>
    <row r="30" spans="1:10" ht="15.75" customHeight="1"/>
    <row r="31" spans="1:10" ht="15.75" customHeight="1"/>
    <row r="32" spans="1:10" ht="15.75" customHeight="1">
      <c r="A32" s="6" t="s">
        <v>27</v>
      </c>
    </row>
    <row r="33" spans="1:10" ht="15" customHeight="1">
      <c r="A33" s="141" t="s">
        <v>63</v>
      </c>
      <c r="B33" s="142"/>
      <c r="C33" s="142"/>
      <c r="D33" s="142"/>
      <c r="E33" s="142"/>
      <c r="F33" s="142"/>
      <c r="G33" s="142"/>
      <c r="H33" s="142"/>
      <c r="I33" s="142"/>
      <c r="J33" s="142"/>
    </row>
    <row r="34" spans="1:10" ht="15.75" customHeight="1">
      <c r="A34" s="142"/>
      <c r="B34" s="142"/>
      <c r="C34" s="142"/>
      <c r="D34" s="142"/>
      <c r="E34" s="142"/>
      <c r="F34" s="142"/>
      <c r="G34" s="142"/>
      <c r="H34" s="142"/>
      <c r="I34" s="142"/>
      <c r="J34" s="142"/>
    </row>
    <row r="35" spans="1:10" ht="37.5" customHeight="1">
      <c r="A35" s="12" t="s">
        <v>29</v>
      </c>
      <c r="B35" s="12" t="s">
        <v>30</v>
      </c>
      <c r="C35" s="12" t="s">
        <v>64</v>
      </c>
      <c r="D35" s="13" t="s">
        <v>65</v>
      </c>
      <c r="E35" s="13" t="s">
        <v>66</v>
      </c>
    </row>
    <row r="36" spans="1:10" ht="15.75" customHeight="1">
      <c r="A36" s="9" t="s">
        <v>32</v>
      </c>
      <c r="B36" s="9" t="s">
        <v>33</v>
      </c>
      <c r="C36" s="14">
        <v>51</v>
      </c>
      <c r="D36" s="14" t="s">
        <v>67</v>
      </c>
      <c r="E36" s="15" t="str">
        <f t="shared" ref="E36:E39" si="2">IF(AND(C36&gt;50, D36="Yes"), "GOOD", "NOT GOOD")</f>
        <v>GOOD</v>
      </c>
    </row>
    <row r="37" spans="1:10" ht="15.75" customHeight="1">
      <c r="A37" s="9" t="s">
        <v>34</v>
      </c>
      <c r="B37" s="9" t="s">
        <v>35</v>
      </c>
      <c r="C37" s="14">
        <v>100</v>
      </c>
      <c r="D37" s="14" t="s">
        <v>68</v>
      </c>
      <c r="E37" s="15" t="str">
        <f t="shared" si="2"/>
        <v>NOT GOOD</v>
      </c>
    </row>
    <row r="38" spans="1:10" ht="15.75" customHeight="1">
      <c r="A38" s="9" t="s">
        <v>36</v>
      </c>
      <c r="B38" s="9" t="s">
        <v>35</v>
      </c>
      <c r="C38" s="14">
        <v>49</v>
      </c>
      <c r="D38" s="14" t="s">
        <v>67</v>
      </c>
      <c r="E38" s="15" t="str">
        <f t="shared" si="2"/>
        <v>NOT GOOD</v>
      </c>
    </row>
    <row r="39" spans="1:10" ht="15.75" customHeight="1">
      <c r="A39" s="9" t="s">
        <v>37</v>
      </c>
      <c r="B39" s="9" t="s">
        <v>35</v>
      </c>
      <c r="C39" s="14">
        <v>75</v>
      </c>
      <c r="D39" s="14" t="s">
        <v>67</v>
      </c>
      <c r="E39" s="15" t="str">
        <f t="shared" si="2"/>
        <v>GOOD</v>
      </c>
    </row>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27:I27"/>
    <mergeCell ref="E28:I28"/>
    <mergeCell ref="E29:I29"/>
    <mergeCell ref="A33:J34"/>
    <mergeCell ref="A4:J5"/>
    <mergeCell ref="D18:E18"/>
    <mergeCell ref="D19:E19"/>
    <mergeCell ref="D20:E20"/>
    <mergeCell ref="A23:J24"/>
    <mergeCell ref="E25:I25"/>
    <mergeCell ref="E26:I26"/>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showGridLines="0" topLeftCell="A19" workbookViewId="0">
      <selection sqref="A1:B1"/>
    </sheetView>
  </sheetViews>
  <sheetFormatPr defaultColWidth="14.42578125" defaultRowHeight="15" customHeight="1"/>
  <cols>
    <col min="1" max="1" width="11.7109375" customWidth="1"/>
    <col min="2" max="2" width="11.5703125" customWidth="1"/>
    <col min="3" max="3" width="10.140625" customWidth="1"/>
    <col min="4" max="4" width="10" customWidth="1"/>
    <col min="5" max="5" width="11.5703125" customWidth="1"/>
    <col min="6" max="6" width="12.42578125" customWidth="1"/>
    <col min="7" max="8" width="8.7109375" customWidth="1"/>
    <col min="9" max="9" width="11.42578125" customWidth="1"/>
    <col min="10" max="10" width="12.140625" customWidth="1"/>
    <col min="11" max="11" width="11.28515625" customWidth="1"/>
    <col min="12" max="12" width="10.140625" customWidth="1"/>
  </cols>
  <sheetData>
    <row r="1" spans="1:12" ht="31.5">
      <c r="A1" s="148" t="s">
        <v>69</v>
      </c>
      <c r="B1" s="149"/>
      <c r="C1" s="2"/>
      <c r="D1" s="2"/>
      <c r="E1" s="2"/>
      <c r="F1" s="2"/>
      <c r="G1" s="2"/>
      <c r="H1" s="2"/>
      <c r="I1" s="2"/>
      <c r="J1" s="2"/>
      <c r="K1" s="2"/>
      <c r="L1" s="2"/>
    </row>
    <row r="3" spans="1:12" ht="18.75">
      <c r="A3" s="3" t="s">
        <v>1</v>
      </c>
    </row>
    <row r="4" spans="1:12">
      <c r="A4" s="141" t="s">
        <v>70</v>
      </c>
      <c r="B4" s="142"/>
      <c r="C4" s="142"/>
      <c r="D4" s="142"/>
      <c r="E4" s="142"/>
      <c r="F4" s="142"/>
      <c r="G4" s="142"/>
      <c r="H4" s="142"/>
      <c r="I4" s="142"/>
      <c r="J4" s="142"/>
    </row>
    <row r="5" spans="1:12" ht="15" customHeight="1">
      <c r="A5" s="142"/>
      <c r="B5" s="142"/>
      <c r="C5" s="142"/>
      <c r="D5" s="142"/>
      <c r="E5" s="142"/>
      <c r="F5" s="142"/>
      <c r="G5" s="142"/>
      <c r="H5" s="142"/>
      <c r="I5" s="142"/>
      <c r="J5" s="142"/>
    </row>
    <row r="6" spans="1:12" ht="18.75">
      <c r="A6" s="3" t="s">
        <v>3</v>
      </c>
    </row>
    <row r="7" spans="1:12" ht="15.75">
      <c r="A7" s="5" t="s">
        <v>71</v>
      </c>
    </row>
    <row r="9" spans="1:12" ht="15.75">
      <c r="A9" s="6" t="s">
        <v>5</v>
      </c>
    </row>
    <row r="10" spans="1:12">
      <c r="A10" s="141" t="s">
        <v>72</v>
      </c>
      <c r="B10" s="142"/>
      <c r="C10" s="142"/>
      <c r="D10" s="142"/>
      <c r="E10" s="142"/>
      <c r="F10" s="142"/>
      <c r="G10" s="142"/>
      <c r="H10" s="142"/>
      <c r="I10" s="142"/>
      <c r="J10" s="142"/>
      <c r="K10" s="142"/>
    </row>
    <row r="11" spans="1:12" ht="15" customHeight="1">
      <c r="A11" s="142"/>
      <c r="B11" s="142"/>
      <c r="C11" s="142"/>
      <c r="D11" s="142"/>
      <c r="E11" s="142"/>
      <c r="F11" s="142"/>
      <c r="G11" s="142"/>
      <c r="H11" s="142"/>
      <c r="I11" s="142"/>
      <c r="J11" s="142"/>
      <c r="K11" s="142"/>
    </row>
    <row r="12" spans="1:12">
      <c r="A12" s="7"/>
      <c r="B12" s="7"/>
      <c r="C12" s="7"/>
      <c r="D12" s="7"/>
      <c r="E12" s="7"/>
      <c r="F12" s="7"/>
      <c r="G12" s="7"/>
      <c r="H12" s="7"/>
      <c r="I12" s="7"/>
      <c r="J12" s="7"/>
      <c r="K12" s="7"/>
    </row>
    <row r="13" spans="1:12" ht="15.75">
      <c r="A13" s="6" t="s">
        <v>7</v>
      </c>
    </row>
    <row r="14" spans="1:12">
      <c r="A14" s="4" t="s">
        <v>8</v>
      </c>
    </row>
    <row r="16" spans="1:12" ht="15.75">
      <c r="A16" s="6" t="s">
        <v>9</v>
      </c>
    </row>
    <row r="17" spans="1:10">
      <c r="A17" s="4" t="s">
        <v>10</v>
      </c>
    </row>
    <row r="19" spans="1:10" ht="15.75">
      <c r="A19" s="6" t="s">
        <v>73</v>
      </c>
    </row>
    <row r="20" spans="1:10">
      <c r="A20" s="4" t="s">
        <v>74</v>
      </c>
    </row>
    <row r="21" spans="1:10" ht="15.75" customHeight="1"/>
    <row r="22" spans="1:10" ht="15.75" customHeight="1">
      <c r="A22" s="6" t="s">
        <v>11</v>
      </c>
    </row>
    <row r="23" spans="1:10" ht="15.75" customHeight="1">
      <c r="A23" s="4" t="s">
        <v>75</v>
      </c>
    </row>
    <row r="24" spans="1:10" ht="15.75" customHeight="1">
      <c r="A24" s="147" t="s">
        <v>76</v>
      </c>
      <c r="B24" s="145"/>
      <c r="D24" s="147" t="s">
        <v>77</v>
      </c>
      <c r="E24" s="144"/>
      <c r="F24" s="144"/>
      <c r="G24" s="144"/>
      <c r="H24" s="144"/>
      <c r="I24" s="145"/>
    </row>
    <row r="25" spans="1:10" ht="15.75" customHeight="1">
      <c r="A25" s="8" t="s">
        <v>78</v>
      </c>
      <c r="B25" s="8" t="s">
        <v>79</v>
      </c>
      <c r="D25" s="8" t="s">
        <v>13</v>
      </c>
      <c r="E25" s="8" t="s">
        <v>14</v>
      </c>
      <c r="F25" s="8" t="s">
        <v>79</v>
      </c>
      <c r="G25" s="143" t="s">
        <v>16</v>
      </c>
      <c r="H25" s="144"/>
      <c r="I25" s="145"/>
    </row>
    <row r="26" spans="1:10" ht="15.75" customHeight="1">
      <c r="A26" s="9" t="s">
        <v>80</v>
      </c>
      <c r="B26" s="9" t="s">
        <v>81</v>
      </c>
      <c r="D26" s="9" t="s">
        <v>17</v>
      </c>
      <c r="E26" s="9">
        <v>90</v>
      </c>
      <c r="F26" s="9" t="str">
        <f t="shared" ref="F26:F29" si="0">IF(E26&lt; 41,"C",IF(E26&lt; 71,"B","A"))</f>
        <v>A</v>
      </c>
      <c r="G26" s="146" t="s">
        <v>82</v>
      </c>
      <c r="H26" s="144"/>
      <c r="I26" s="145"/>
    </row>
    <row r="27" spans="1:10" ht="15.75" customHeight="1">
      <c r="A27" s="9" t="s">
        <v>83</v>
      </c>
      <c r="B27" s="9" t="s">
        <v>84</v>
      </c>
      <c r="D27" s="9" t="s">
        <v>19</v>
      </c>
      <c r="E27" s="9">
        <v>70</v>
      </c>
      <c r="F27" s="9" t="str">
        <f t="shared" si="0"/>
        <v>B</v>
      </c>
      <c r="G27" s="146" t="s">
        <v>85</v>
      </c>
      <c r="H27" s="144"/>
      <c r="I27" s="145"/>
    </row>
    <row r="28" spans="1:10" ht="15.75" customHeight="1">
      <c r="A28" s="9" t="s">
        <v>86</v>
      </c>
      <c r="B28" s="9" t="s">
        <v>87</v>
      </c>
      <c r="D28" s="9" t="s">
        <v>21</v>
      </c>
      <c r="E28" s="9">
        <v>20</v>
      </c>
      <c r="F28" s="9" t="str">
        <f t="shared" si="0"/>
        <v>C</v>
      </c>
      <c r="G28" s="146" t="s">
        <v>88</v>
      </c>
      <c r="H28" s="144"/>
      <c r="I28" s="145"/>
    </row>
    <row r="29" spans="1:10" ht="15.75" customHeight="1">
      <c r="D29" s="9" t="s">
        <v>23</v>
      </c>
      <c r="E29" s="9">
        <v>41</v>
      </c>
      <c r="F29" s="9" t="str">
        <f t="shared" si="0"/>
        <v>B</v>
      </c>
      <c r="G29" s="146" t="s">
        <v>89</v>
      </c>
      <c r="H29" s="144"/>
      <c r="I29" s="145"/>
    </row>
    <row r="30" spans="1:10" ht="15.75" customHeight="1"/>
    <row r="31" spans="1:10" ht="15.75" customHeight="1">
      <c r="A31" s="6" t="s">
        <v>27</v>
      </c>
    </row>
    <row r="32" spans="1:10" ht="15.75" customHeight="1">
      <c r="A32" s="141" t="s">
        <v>90</v>
      </c>
      <c r="B32" s="142"/>
      <c r="C32" s="142"/>
      <c r="D32" s="142"/>
      <c r="E32" s="142"/>
      <c r="F32" s="142"/>
      <c r="G32" s="142"/>
      <c r="H32" s="142"/>
      <c r="I32" s="142"/>
      <c r="J32" s="142"/>
    </row>
    <row r="33" spans="1:10" ht="15.75" customHeight="1">
      <c r="A33" s="142"/>
      <c r="B33" s="142"/>
      <c r="C33" s="142"/>
      <c r="D33" s="142"/>
      <c r="E33" s="142"/>
      <c r="F33" s="142"/>
      <c r="G33" s="142"/>
      <c r="H33" s="142"/>
      <c r="I33" s="142"/>
      <c r="J33" s="142"/>
    </row>
    <row r="34" spans="1:10" ht="15.75" customHeight="1">
      <c r="A34" s="147" t="s">
        <v>76</v>
      </c>
      <c r="B34" s="145"/>
      <c r="D34" s="147" t="s">
        <v>77</v>
      </c>
      <c r="E34" s="144"/>
      <c r="F34" s="144"/>
      <c r="G34" s="145"/>
    </row>
    <row r="35" spans="1:10" ht="15.75" customHeight="1">
      <c r="A35" s="8" t="s">
        <v>91</v>
      </c>
      <c r="B35" s="8" t="s">
        <v>92</v>
      </c>
      <c r="D35" s="8" t="s">
        <v>29</v>
      </c>
      <c r="E35" s="8" t="s">
        <v>30</v>
      </c>
      <c r="F35" s="8" t="s">
        <v>91</v>
      </c>
      <c r="G35" s="17" t="s">
        <v>49</v>
      </c>
    </row>
    <row r="36" spans="1:10" ht="15.75" customHeight="1">
      <c r="A36" s="9" t="s">
        <v>81</v>
      </c>
      <c r="B36" s="18">
        <v>1000</v>
      </c>
      <c r="D36" s="9" t="s">
        <v>32</v>
      </c>
      <c r="E36" s="9" t="s">
        <v>33</v>
      </c>
      <c r="F36" s="11" t="s">
        <v>81</v>
      </c>
      <c r="G36" s="15">
        <f t="shared" ref="G36:G39" si="1">IF(E26&lt;41, 250, IF(E26&lt;71, 500, 1000))</f>
        <v>1000</v>
      </c>
    </row>
    <row r="37" spans="1:10" ht="15.75" customHeight="1">
      <c r="A37" s="9" t="s">
        <v>84</v>
      </c>
      <c r="B37" s="18">
        <v>500</v>
      </c>
      <c r="D37" s="9" t="s">
        <v>34</v>
      </c>
      <c r="E37" s="9" t="s">
        <v>35</v>
      </c>
      <c r="F37" s="11" t="s">
        <v>81</v>
      </c>
      <c r="G37" s="15">
        <f t="shared" si="1"/>
        <v>500</v>
      </c>
    </row>
    <row r="38" spans="1:10" ht="15.75" customHeight="1">
      <c r="A38" s="9" t="s">
        <v>87</v>
      </c>
      <c r="B38" s="18">
        <v>250</v>
      </c>
      <c r="D38" s="9" t="s">
        <v>36</v>
      </c>
      <c r="E38" s="9" t="s">
        <v>35</v>
      </c>
      <c r="F38" s="11" t="s">
        <v>84</v>
      </c>
      <c r="G38" s="15">
        <f t="shared" si="1"/>
        <v>250</v>
      </c>
    </row>
    <row r="39" spans="1:10" ht="15.75" customHeight="1">
      <c r="D39" s="9" t="s">
        <v>37</v>
      </c>
      <c r="E39" s="9" t="s">
        <v>35</v>
      </c>
      <c r="F39" s="11" t="s">
        <v>87</v>
      </c>
      <c r="G39" s="15">
        <f t="shared" si="1"/>
        <v>500</v>
      </c>
    </row>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5:I25"/>
    <mergeCell ref="G26:I26"/>
    <mergeCell ref="A1:B1"/>
    <mergeCell ref="A4:J5"/>
    <mergeCell ref="A10:K11"/>
    <mergeCell ref="A24:B24"/>
    <mergeCell ref="D24:I24"/>
    <mergeCell ref="G27:I27"/>
    <mergeCell ref="G28:I28"/>
    <mergeCell ref="G29:I29"/>
    <mergeCell ref="A32:J33"/>
    <mergeCell ref="A34:B34"/>
    <mergeCell ref="D34:G34"/>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showGridLines="0" topLeftCell="A19" workbookViewId="0"/>
  </sheetViews>
  <sheetFormatPr defaultColWidth="14.42578125" defaultRowHeight="15" customHeight="1"/>
  <cols>
    <col min="1" max="1" width="11" customWidth="1"/>
    <col min="2" max="2" width="12.85546875" customWidth="1"/>
    <col min="3" max="3" width="10.140625" customWidth="1"/>
    <col min="4" max="4" width="15.42578125" customWidth="1"/>
    <col min="5" max="5" width="15.85546875" customWidth="1"/>
    <col min="6" max="6" width="8.7109375" customWidth="1"/>
    <col min="7" max="7" width="10.28515625" customWidth="1"/>
    <col min="8" max="9" width="8.7109375" customWidth="1"/>
    <col min="10" max="10" width="10.140625" customWidth="1"/>
    <col min="11" max="11" width="11.28515625" customWidth="1"/>
    <col min="12" max="12" width="10.140625" customWidth="1"/>
  </cols>
  <sheetData>
    <row r="1" spans="1:12" ht="31.5">
      <c r="A1" s="1" t="s">
        <v>93</v>
      </c>
      <c r="B1" s="2"/>
      <c r="C1" s="2"/>
      <c r="D1" s="2"/>
      <c r="E1" s="2"/>
      <c r="F1" s="2"/>
      <c r="G1" s="2"/>
      <c r="H1" s="2"/>
      <c r="I1" s="2"/>
      <c r="J1" s="2"/>
      <c r="K1" s="2"/>
      <c r="L1" s="2"/>
    </row>
    <row r="3" spans="1:12" ht="18.75">
      <c r="A3" s="3" t="s">
        <v>1</v>
      </c>
    </row>
    <row r="4" spans="1:12" ht="15" customHeight="1">
      <c r="A4" s="141" t="s">
        <v>94</v>
      </c>
      <c r="B4" s="142"/>
      <c r="C4" s="142"/>
      <c r="D4" s="142"/>
      <c r="E4" s="142"/>
      <c r="F4" s="142"/>
      <c r="G4" s="142"/>
      <c r="H4" s="142"/>
      <c r="I4" s="142"/>
      <c r="J4" s="142"/>
    </row>
    <row r="5" spans="1:12" ht="15" customHeight="1">
      <c r="A5" s="142"/>
      <c r="B5" s="142"/>
      <c r="C5" s="142"/>
      <c r="D5" s="142"/>
      <c r="E5" s="142"/>
      <c r="F5" s="142"/>
      <c r="G5" s="142"/>
      <c r="H5" s="142"/>
      <c r="I5" s="142"/>
      <c r="J5" s="142"/>
    </row>
    <row r="6" spans="1:12" ht="15" customHeight="1">
      <c r="A6" s="142"/>
      <c r="B6" s="142"/>
      <c r="C6" s="142"/>
      <c r="D6" s="142"/>
      <c r="E6" s="142"/>
      <c r="F6" s="142"/>
      <c r="G6" s="142"/>
      <c r="H6" s="142"/>
      <c r="I6" s="142"/>
      <c r="J6" s="142"/>
    </row>
    <row r="7" spans="1:12">
      <c r="A7" s="7"/>
      <c r="B7" s="7"/>
      <c r="C7" s="7"/>
      <c r="D7" s="7"/>
      <c r="E7" s="7"/>
      <c r="F7" s="7"/>
      <c r="G7" s="7"/>
      <c r="H7" s="7"/>
      <c r="I7" s="7"/>
      <c r="J7" s="7"/>
    </row>
    <row r="8" spans="1:12" ht="18.75">
      <c r="A8" s="3" t="s">
        <v>3</v>
      </c>
    </row>
    <row r="9" spans="1:12" ht="15.75">
      <c r="A9" s="5" t="s">
        <v>95</v>
      </c>
    </row>
    <row r="11" spans="1:12" ht="15.75">
      <c r="A11" s="6" t="s">
        <v>41</v>
      </c>
    </row>
    <row r="12" spans="1:12">
      <c r="A12" s="4" t="s">
        <v>42</v>
      </c>
    </row>
    <row r="14" spans="1:12" ht="15.75">
      <c r="A14" s="6" t="s">
        <v>43</v>
      </c>
    </row>
    <row r="15" spans="1:12">
      <c r="A15" s="4" t="s">
        <v>44</v>
      </c>
    </row>
    <row r="17" spans="1:10" ht="15.75">
      <c r="A17" s="6" t="s">
        <v>45</v>
      </c>
    </row>
    <row r="18" spans="1:10">
      <c r="A18" s="4" t="s">
        <v>96</v>
      </c>
    </row>
    <row r="19" spans="1:10">
      <c r="A19" s="8" t="s">
        <v>47</v>
      </c>
      <c r="B19" s="8" t="s">
        <v>48</v>
      </c>
      <c r="C19" s="8" t="s">
        <v>49</v>
      </c>
      <c r="D19" s="143" t="s">
        <v>16</v>
      </c>
      <c r="E19" s="145"/>
    </row>
    <row r="20" spans="1:10">
      <c r="A20" s="9">
        <v>1</v>
      </c>
      <c r="B20" s="9">
        <v>2</v>
      </c>
      <c r="C20" s="9" t="b">
        <f t="shared" ref="C20:C22" si="0">OR(A20&gt;0,B20&gt;0)</f>
        <v>1</v>
      </c>
      <c r="D20" s="146" t="s">
        <v>97</v>
      </c>
      <c r="E20" s="145"/>
    </row>
    <row r="21" spans="1:10" ht="15.75" customHeight="1">
      <c r="A21" s="9">
        <v>1</v>
      </c>
      <c r="B21" s="9">
        <v>-2</v>
      </c>
      <c r="C21" s="9" t="b">
        <f t="shared" si="0"/>
        <v>1</v>
      </c>
      <c r="D21" s="146" t="s">
        <v>98</v>
      </c>
      <c r="E21" s="145"/>
    </row>
    <row r="22" spans="1:10" ht="15.75" customHeight="1">
      <c r="A22" s="9">
        <v>-1</v>
      </c>
      <c r="B22" s="9">
        <v>-2</v>
      </c>
      <c r="C22" s="9" t="b">
        <f t="shared" si="0"/>
        <v>0</v>
      </c>
      <c r="D22" s="146" t="s">
        <v>99</v>
      </c>
      <c r="E22" s="145"/>
    </row>
    <row r="23" spans="1:10" ht="15.75" customHeight="1">
      <c r="A23" s="6"/>
    </row>
    <row r="24" spans="1:10" ht="15.75" customHeight="1">
      <c r="A24" s="6" t="s">
        <v>52</v>
      </c>
    </row>
    <row r="25" spans="1:10" ht="15.75" customHeight="1">
      <c r="A25" s="141" t="s">
        <v>100</v>
      </c>
      <c r="B25" s="142"/>
      <c r="C25" s="142"/>
      <c r="D25" s="142"/>
      <c r="E25" s="142"/>
      <c r="F25" s="142"/>
      <c r="G25" s="142"/>
      <c r="H25" s="142"/>
      <c r="I25" s="142"/>
      <c r="J25" s="142"/>
    </row>
    <row r="26" spans="1:10" ht="15.75" customHeight="1">
      <c r="A26" s="142"/>
      <c r="B26" s="142"/>
      <c r="C26" s="142"/>
      <c r="D26" s="142"/>
      <c r="E26" s="142"/>
      <c r="F26" s="142"/>
      <c r="G26" s="142"/>
      <c r="H26" s="142"/>
      <c r="I26" s="142"/>
      <c r="J26" s="142"/>
    </row>
    <row r="27" spans="1:10" ht="15.75" customHeight="1">
      <c r="A27" s="8" t="s">
        <v>13</v>
      </c>
      <c r="B27" s="8" t="s">
        <v>54</v>
      </c>
      <c r="C27" s="8" t="s">
        <v>55</v>
      </c>
      <c r="D27" s="8" t="s">
        <v>56</v>
      </c>
      <c r="E27" s="143" t="s">
        <v>16</v>
      </c>
      <c r="F27" s="144"/>
      <c r="G27" s="144"/>
      <c r="H27" s="144"/>
      <c r="I27" s="145"/>
    </row>
    <row r="28" spans="1:10" ht="15.75" customHeight="1">
      <c r="A28" s="9" t="s">
        <v>17</v>
      </c>
      <c r="B28" s="9" t="s">
        <v>57</v>
      </c>
      <c r="C28" s="9" t="s">
        <v>57</v>
      </c>
      <c r="D28" s="9" t="str">
        <f t="shared" ref="D28:D31" si="1">IF(OR(B28="FAIL",C28="FAIL"),"FAIL","PASS")</f>
        <v>PASS</v>
      </c>
      <c r="E28" s="146" t="s">
        <v>101</v>
      </c>
      <c r="F28" s="144"/>
      <c r="G28" s="144"/>
      <c r="H28" s="144"/>
      <c r="I28" s="145"/>
    </row>
    <row r="29" spans="1:10" ht="15.75" customHeight="1">
      <c r="A29" s="9" t="s">
        <v>19</v>
      </c>
      <c r="B29" s="9" t="s">
        <v>57</v>
      </c>
      <c r="C29" s="9" t="s">
        <v>59</v>
      </c>
      <c r="D29" s="9" t="str">
        <f t="shared" si="1"/>
        <v>FAIL</v>
      </c>
      <c r="E29" s="146" t="s">
        <v>102</v>
      </c>
      <c r="F29" s="144"/>
      <c r="G29" s="144"/>
      <c r="H29" s="144"/>
      <c r="I29" s="145"/>
    </row>
    <row r="30" spans="1:10" ht="15.75" customHeight="1">
      <c r="A30" s="9" t="s">
        <v>21</v>
      </c>
      <c r="B30" s="9" t="s">
        <v>59</v>
      </c>
      <c r="C30" s="9" t="s">
        <v>57</v>
      </c>
      <c r="D30" s="9" t="str">
        <f t="shared" si="1"/>
        <v>FAIL</v>
      </c>
      <c r="E30" s="146" t="s">
        <v>103</v>
      </c>
      <c r="F30" s="144"/>
      <c r="G30" s="144"/>
      <c r="H30" s="144"/>
      <c r="I30" s="145"/>
    </row>
    <row r="31" spans="1:10" ht="15.75" customHeight="1">
      <c r="A31" s="9" t="s">
        <v>23</v>
      </c>
      <c r="B31" s="9" t="s">
        <v>57</v>
      </c>
      <c r="C31" s="9" t="s">
        <v>57</v>
      </c>
      <c r="D31" s="9" t="str">
        <f t="shared" si="1"/>
        <v>PASS</v>
      </c>
      <c r="E31" s="146" t="s">
        <v>104</v>
      </c>
      <c r="F31" s="144"/>
      <c r="G31" s="144"/>
      <c r="H31" s="144"/>
      <c r="I31" s="145"/>
    </row>
    <row r="32" spans="1:10" ht="15.75" customHeight="1"/>
    <row r="33" spans="1:10" ht="15.75" customHeight="1"/>
    <row r="34" spans="1:10" ht="15.75" customHeight="1">
      <c r="A34" s="6" t="s">
        <v>27</v>
      </c>
    </row>
    <row r="35" spans="1:10" ht="15" customHeight="1">
      <c r="A35" s="141" t="s">
        <v>105</v>
      </c>
      <c r="B35" s="142"/>
      <c r="C35" s="142"/>
      <c r="D35" s="142"/>
      <c r="E35" s="142"/>
      <c r="F35" s="142"/>
      <c r="G35" s="142"/>
      <c r="H35" s="142"/>
      <c r="I35" s="142"/>
      <c r="J35" s="142"/>
    </row>
    <row r="36" spans="1:10" ht="15.75" customHeight="1">
      <c r="A36" s="142"/>
      <c r="B36" s="142"/>
      <c r="C36" s="142"/>
      <c r="D36" s="142"/>
      <c r="E36" s="142"/>
      <c r="F36" s="142"/>
      <c r="G36" s="142"/>
      <c r="H36" s="142"/>
      <c r="I36" s="142"/>
      <c r="J36" s="142"/>
    </row>
    <row r="37" spans="1:10" ht="37.5" customHeight="1">
      <c r="A37" s="12" t="s">
        <v>29</v>
      </c>
      <c r="B37" s="12" t="s">
        <v>30</v>
      </c>
      <c r="C37" s="12" t="s">
        <v>64</v>
      </c>
      <c r="D37" s="13" t="s">
        <v>65</v>
      </c>
      <c r="E37" s="13" t="s">
        <v>66</v>
      </c>
    </row>
    <row r="38" spans="1:10" ht="15.75" customHeight="1">
      <c r="A38" s="9" t="s">
        <v>32</v>
      </c>
      <c r="B38" s="9" t="s">
        <v>33</v>
      </c>
      <c r="C38" s="14">
        <v>51</v>
      </c>
      <c r="D38" s="14" t="s">
        <v>67</v>
      </c>
      <c r="E38" s="15" t="str">
        <f t="shared" ref="E38:E41" si="2">IF(OR(C38="NO",D38="NO"),"YES","NO")</f>
        <v>NO</v>
      </c>
    </row>
    <row r="39" spans="1:10" ht="15.75" customHeight="1">
      <c r="A39" s="9" t="s">
        <v>34</v>
      </c>
      <c r="B39" s="9" t="s">
        <v>35</v>
      </c>
      <c r="C39" s="14">
        <v>49</v>
      </c>
      <c r="D39" s="14" t="s">
        <v>68</v>
      </c>
      <c r="E39" s="15" t="str">
        <f t="shared" si="2"/>
        <v>YES</v>
      </c>
    </row>
    <row r="40" spans="1:10" ht="15.75" customHeight="1">
      <c r="A40" s="9" t="s">
        <v>36</v>
      </c>
      <c r="B40" s="9" t="s">
        <v>35</v>
      </c>
      <c r="C40" s="14">
        <v>49</v>
      </c>
      <c r="D40" s="14" t="s">
        <v>67</v>
      </c>
      <c r="E40" s="15" t="str">
        <f t="shared" si="2"/>
        <v>NO</v>
      </c>
    </row>
    <row r="41" spans="1:10" ht="15.75" customHeight="1">
      <c r="A41" s="9" t="s">
        <v>37</v>
      </c>
      <c r="B41" s="9" t="s">
        <v>35</v>
      </c>
      <c r="C41" s="14">
        <v>75</v>
      </c>
      <c r="D41" s="14" t="s">
        <v>67</v>
      </c>
      <c r="E41" s="15" t="str">
        <f t="shared" si="2"/>
        <v>NO</v>
      </c>
    </row>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5:J26"/>
    <mergeCell ref="E27:I27"/>
    <mergeCell ref="A4:J6"/>
    <mergeCell ref="D19:E19"/>
    <mergeCell ref="D20:E20"/>
    <mergeCell ref="D21:E21"/>
    <mergeCell ref="D22:E22"/>
    <mergeCell ref="E28:I28"/>
    <mergeCell ref="E29:I29"/>
    <mergeCell ref="E30:I30"/>
    <mergeCell ref="E31:I31"/>
    <mergeCell ref="A35:J36"/>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00"/>
  <sheetViews>
    <sheetView showGridLines="0" topLeftCell="A19" workbookViewId="0">
      <selection sqref="A1:B1"/>
    </sheetView>
  </sheetViews>
  <sheetFormatPr defaultColWidth="14.42578125" defaultRowHeight="15" customHeight="1"/>
  <cols>
    <col min="1" max="1" width="11" customWidth="1"/>
    <col min="2" max="2" width="12.85546875" customWidth="1"/>
    <col min="3" max="3" width="10.140625" customWidth="1"/>
    <col min="4" max="4" width="15.42578125" customWidth="1"/>
    <col min="5" max="5" width="15.85546875" customWidth="1"/>
    <col min="6" max="6" width="8.7109375" customWidth="1"/>
    <col min="7" max="7" width="10.28515625" customWidth="1"/>
    <col min="8" max="8" width="10" customWidth="1"/>
    <col min="9" max="9" width="8.7109375" customWidth="1"/>
    <col min="10" max="10" width="10.140625" customWidth="1"/>
    <col min="11" max="11" width="11.28515625" customWidth="1"/>
    <col min="12" max="12" width="10.140625" customWidth="1"/>
    <col min="13" max="13" width="8.7109375" customWidth="1"/>
  </cols>
  <sheetData>
    <row r="1" spans="1:12" ht="18.75">
      <c r="A1" s="158" t="s">
        <v>106</v>
      </c>
      <c r="B1" s="149"/>
      <c r="C1" s="2"/>
      <c r="D1" s="2"/>
      <c r="E1" s="2"/>
      <c r="F1" s="2"/>
      <c r="G1" s="2"/>
      <c r="H1" s="2"/>
      <c r="I1" s="2"/>
      <c r="J1" s="2"/>
      <c r="K1" s="2"/>
      <c r="L1" s="2"/>
    </row>
    <row r="3" spans="1:12" ht="18.75">
      <c r="A3" s="3" t="s">
        <v>1</v>
      </c>
    </row>
    <row r="4" spans="1:12">
      <c r="A4" s="141" t="s">
        <v>107</v>
      </c>
      <c r="B4" s="142"/>
      <c r="C4" s="142"/>
      <c r="D4" s="142"/>
      <c r="E4" s="142"/>
      <c r="F4" s="142"/>
      <c r="G4" s="142"/>
      <c r="H4" s="142"/>
      <c r="I4" s="142"/>
      <c r="J4" s="142"/>
    </row>
    <row r="5" spans="1:12" ht="15" customHeight="1">
      <c r="A5" s="142"/>
      <c r="B5" s="142"/>
      <c r="C5" s="142"/>
      <c r="D5" s="142"/>
      <c r="E5" s="142"/>
      <c r="F5" s="142"/>
      <c r="G5" s="142"/>
      <c r="H5" s="142"/>
      <c r="I5" s="142"/>
      <c r="J5" s="142"/>
    </row>
    <row r="6" spans="1:12">
      <c r="A6" s="7"/>
      <c r="B6" s="7"/>
      <c r="C6" s="7"/>
      <c r="D6" s="7"/>
      <c r="E6" s="7"/>
      <c r="F6" s="7"/>
      <c r="G6" s="7"/>
      <c r="H6" s="7"/>
      <c r="I6" s="7"/>
      <c r="J6" s="7"/>
    </row>
    <row r="7" spans="1:12" ht="18.75">
      <c r="A7" s="3" t="s">
        <v>3</v>
      </c>
    </row>
    <row r="8" spans="1:12" ht="15.75">
      <c r="A8" s="5" t="s">
        <v>108</v>
      </c>
    </row>
    <row r="10" spans="1:12" ht="15.75">
      <c r="A10" s="6" t="s">
        <v>41</v>
      </c>
    </row>
    <row r="11" spans="1:12">
      <c r="A11" s="4" t="s">
        <v>109</v>
      </c>
    </row>
    <row r="13" spans="1:12" ht="15.75">
      <c r="A13" s="6" t="s">
        <v>110</v>
      </c>
    </row>
    <row r="14" spans="1:12">
      <c r="A14" s="4" t="s">
        <v>111</v>
      </c>
    </row>
    <row r="16" spans="1:12" ht="15.75">
      <c r="A16" s="6" t="s">
        <v>45</v>
      </c>
    </row>
    <row r="17" spans="1:13">
      <c r="A17" s="4" t="s">
        <v>112</v>
      </c>
    </row>
    <row r="18" spans="1:13">
      <c r="A18" s="8" t="s">
        <v>113</v>
      </c>
      <c r="B18" s="8" t="s">
        <v>114</v>
      </c>
      <c r="C18" s="143" t="s">
        <v>115</v>
      </c>
      <c r="D18" s="145"/>
      <c r="E18" s="143" t="s">
        <v>116</v>
      </c>
      <c r="F18" s="144"/>
      <c r="G18" s="144"/>
      <c r="H18" s="145"/>
    </row>
    <row r="19" spans="1:13">
      <c r="A19" s="9">
        <v>1</v>
      </c>
      <c r="B19" s="9">
        <v>2</v>
      </c>
      <c r="C19" s="19">
        <f t="shared" ref="C19:C20" si="0">A19/B19</f>
        <v>0.5</v>
      </c>
      <c r="D19" s="9" t="s">
        <v>117</v>
      </c>
      <c r="E19" s="9">
        <f t="shared" ref="E19:E20" si="1">IFERROR(A19/B19,999)</f>
        <v>0.5</v>
      </c>
      <c r="F19" s="159" t="s">
        <v>118</v>
      </c>
      <c r="G19" s="144"/>
      <c r="H19" s="145"/>
    </row>
    <row r="20" spans="1:13">
      <c r="A20" s="9">
        <v>1</v>
      </c>
      <c r="B20" s="9">
        <v>0</v>
      </c>
      <c r="C20" s="20" t="e">
        <f t="shared" si="0"/>
        <v>#DIV/0!</v>
      </c>
      <c r="D20" s="9" t="s">
        <v>119</v>
      </c>
      <c r="E20" s="21">
        <f t="shared" si="1"/>
        <v>999</v>
      </c>
      <c r="F20" s="159" t="s">
        <v>120</v>
      </c>
      <c r="G20" s="144"/>
      <c r="H20" s="145"/>
    </row>
    <row r="21" spans="1:13" ht="15.75" customHeight="1">
      <c r="A21" s="6"/>
    </row>
    <row r="22" spans="1:13" ht="15.75" customHeight="1">
      <c r="A22" s="6" t="s">
        <v>25</v>
      </c>
    </row>
    <row r="23" spans="1:13" ht="15.75" customHeight="1">
      <c r="A23" s="141" t="s">
        <v>121</v>
      </c>
      <c r="B23" s="142"/>
      <c r="C23" s="142"/>
      <c r="D23" s="142"/>
      <c r="E23" s="142"/>
      <c r="F23" s="142"/>
      <c r="G23" s="142"/>
      <c r="H23" s="142"/>
      <c r="I23" s="142"/>
      <c r="J23" s="142"/>
    </row>
    <row r="24" spans="1:13" ht="15.75" customHeight="1">
      <c r="A24" s="142"/>
      <c r="B24" s="142"/>
      <c r="C24" s="142"/>
      <c r="D24" s="142"/>
      <c r="E24" s="142"/>
      <c r="F24" s="142"/>
      <c r="G24" s="142"/>
      <c r="H24" s="142"/>
      <c r="I24" s="142"/>
      <c r="J24" s="142"/>
    </row>
    <row r="25" spans="1:13" ht="15.75" customHeight="1">
      <c r="A25" s="6"/>
    </row>
    <row r="26" spans="1:13" ht="15.75" customHeight="1">
      <c r="A26" s="6" t="s">
        <v>52</v>
      </c>
    </row>
    <row r="27" spans="1:13" ht="15.75" customHeight="1">
      <c r="A27" s="4" t="s">
        <v>112</v>
      </c>
    </row>
    <row r="28" spans="1:13" ht="15.75" customHeight="1">
      <c r="A28" s="8" t="s">
        <v>113</v>
      </c>
      <c r="B28" s="8" t="s">
        <v>114</v>
      </c>
      <c r="C28" s="143" t="s">
        <v>115</v>
      </c>
      <c r="D28" s="145"/>
      <c r="E28" s="143" t="s">
        <v>116</v>
      </c>
      <c r="F28" s="144"/>
      <c r="G28" s="144"/>
      <c r="H28" s="144"/>
      <c r="I28" s="145"/>
    </row>
    <row r="29" spans="1:13" ht="15.75" customHeight="1">
      <c r="A29" s="9">
        <v>1</v>
      </c>
      <c r="B29" s="9">
        <v>2</v>
      </c>
      <c r="C29" s="19">
        <f t="shared" ref="C29:C32" si="2">A29*B29</f>
        <v>2</v>
      </c>
      <c r="D29" s="9" t="s">
        <v>122</v>
      </c>
      <c r="E29" s="9">
        <f t="shared" ref="E29:E32" si="3">IFERROR(A29*B29,"DATA IS WRONG")</f>
        <v>2</v>
      </c>
      <c r="F29" s="146" t="s">
        <v>123</v>
      </c>
      <c r="G29" s="144"/>
      <c r="H29" s="144"/>
      <c r="I29" s="145"/>
    </row>
    <row r="30" spans="1:13" ht="15.75" customHeight="1">
      <c r="A30" s="9">
        <v>1</v>
      </c>
      <c r="B30" s="9">
        <v>1</v>
      </c>
      <c r="C30" s="19">
        <f t="shared" si="2"/>
        <v>1</v>
      </c>
      <c r="D30" s="9" t="s">
        <v>124</v>
      </c>
      <c r="E30" s="9">
        <f t="shared" si="3"/>
        <v>1</v>
      </c>
      <c r="F30" s="146" t="s">
        <v>125</v>
      </c>
      <c r="G30" s="144"/>
      <c r="H30" s="144"/>
      <c r="I30" s="145"/>
    </row>
    <row r="31" spans="1:13" ht="15.75" customHeight="1">
      <c r="A31" s="9">
        <v>1</v>
      </c>
      <c r="B31" s="22" t="s">
        <v>126</v>
      </c>
      <c r="C31" s="20" t="e">
        <f t="shared" si="2"/>
        <v>#VALUE!</v>
      </c>
      <c r="D31" s="9" t="s">
        <v>127</v>
      </c>
      <c r="E31" s="21" t="str">
        <f t="shared" si="3"/>
        <v>DATA IS WRONG</v>
      </c>
      <c r="F31" s="146" t="s">
        <v>128</v>
      </c>
      <c r="G31" s="144"/>
      <c r="H31" s="144"/>
      <c r="I31" s="145"/>
    </row>
    <row r="32" spans="1:13" ht="15.75" customHeight="1">
      <c r="A32" s="9">
        <v>5</v>
      </c>
      <c r="B32" s="22" t="s">
        <v>126</v>
      </c>
      <c r="C32" s="20" t="e">
        <f t="shared" si="2"/>
        <v>#VALUE!</v>
      </c>
      <c r="D32" s="9" t="s">
        <v>129</v>
      </c>
      <c r="E32" s="21" t="str">
        <f t="shared" si="3"/>
        <v>DATA IS WRONG</v>
      </c>
      <c r="F32" s="146" t="s">
        <v>130</v>
      </c>
      <c r="G32" s="144"/>
      <c r="H32" s="144"/>
      <c r="I32" s="145"/>
      <c r="K32" s="150" t="s">
        <v>131</v>
      </c>
      <c r="L32" s="151"/>
      <c r="M32" s="152"/>
    </row>
    <row r="33" spans="1:13" ht="15.75" customHeight="1">
      <c r="A33" s="6"/>
      <c r="K33" s="153"/>
      <c r="L33" s="142"/>
      <c r="M33" s="154"/>
    </row>
    <row r="34" spans="1:13" ht="15.75" customHeight="1">
      <c r="A34" s="6"/>
      <c r="K34" s="155"/>
      <c r="L34" s="156"/>
      <c r="M34" s="157"/>
    </row>
    <row r="35" spans="1:13" ht="15.75" customHeight="1">
      <c r="A35" s="6" t="s">
        <v>27</v>
      </c>
    </row>
    <row r="36" spans="1:13" ht="15" customHeight="1">
      <c r="A36" s="141" t="s">
        <v>132</v>
      </c>
      <c r="B36" s="142"/>
      <c r="C36" s="142"/>
      <c r="D36" s="142"/>
      <c r="E36" s="142"/>
      <c r="F36" s="142"/>
      <c r="G36" s="142"/>
      <c r="H36" s="142"/>
      <c r="I36" s="142"/>
      <c r="J36" s="142"/>
    </row>
    <row r="37" spans="1:13" ht="15.75" customHeight="1">
      <c r="A37" s="142"/>
      <c r="B37" s="142"/>
      <c r="C37" s="142"/>
      <c r="D37" s="142"/>
      <c r="E37" s="142"/>
      <c r="F37" s="142"/>
      <c r="G37" s="142"/>
      <c r="H37" s="142"/>
      <c r="I37" s="142"/>
      <c r="J37" s="142"/>
    </row>
    <row r="38" spans="1:13" ht="37.5" customHeight="1">
      <c r="A38" s="12" t="s">
        <v>29</v>
      </c>
      <c r="B38" s="12" t="s">
        <v>30</v>
      </c>
      <c r="C38" s="13" t="s">
        <v>133</v>
      </c>
      <c r="D38" s="13" t="s">
        <v>134</v>
      </c>
    </row>
    <row r="39" spans="1:13" ht="15.75" customHeight="1">
      <c r="A39" s="9" t="s">
        <v>32</v>
      </c>
      <c r="B39" s="9" t="s">
        <v>33</v>
      </c>
      <c r="C39" s="23">
        <v>80000</v>
      </c>
      <c r="D39" s="14">
        <f t="shared" ref="D39:D42" si="4">IFERROR(C39/12, "ERROR IN SALARY")</f>
        <v>6666.666666666667</v>
      </c>
    </row>
    <row r="40" spans="1:13" ht="15.75" customHeight="1">
      <c r="A40" s="9" t="s">
        <v>34</v>
      </c>
      <c r="B40" s="9" t="s">
        <v>35</v>
      </c>
      <c r="C40" s="23">
        <v>50000</v>
      </c>
      <c r="D40" s="14">
        <f t="shared" si="4"/>
        <v>4166.666666666667</v>
      </c>
    </row>
    <row r="41" spans="1:13" ht="15.75" customHeight="1">
      <c r="A41" s="9" t="s">
        <v>36</v>
      </c>
      <c r="B41" s="9" t="s">
        <v>35</v>
      </c>
      <c r="C41" s="14" t="s">
        <v>135</v>
      </c>
      <c r="D41" s="14" t="str">
        <f t="shared" si="4"/>
        <v>ERROR IN SALARY</v>
      </c>
    </row>
    <row r="42" spans="1:13" ht="15.75" customHeight="1">
      <c r="A42" s="9" t="s">
        <v>37</v>
      </c>
      <c r="B42" s="9" t="s">
        <v>35</v>
      </c>
      <c r="C42" s="23">
        <v>40000</v>
      </c>
      <c r="D42" s="14">
        <f t="shared" si="4"/>
        <v>3333.3333333333335</v>
      </c>
    </row>
    <row r="43" spans="1:13" ht="15.75" customHeight="1"/>
    <row r="44" spans="1:13" ht="15.75" customHeight="1"/>
    <row r="45" spans="1:13" ht="15.75" customHeight="1"/>
    <row r="46" spans="1:13" ht="15.75" customHeight="1"/>
    <row r="47" spans="1:13" ht="15.75" customHeight="1"/>
    <row r="48" spans="1: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32:I32"/>
    <mergeCell ref="K32:M34"/>
    <mergeCell ref="A36:J37"/>
    <mergeCell ref="A1:B1"/>
    <mergeCell ref="A4:J5"/>
    <mergeCell ref="C18:D18"/>
    <mergeCell ref="E18:H18"/>
    <mergeCell ref="F19:H19"/>
    <mergeCell ref="F20:H20"/>
    <mergeCell ref="A23:J24"/>
    <mergeCell ref="C28:D28"/>
    <mergeCell ref="E28:I28"/>
    <mergeCell ref="F29:I29"/>
    <mergeCell ref="F30:I30"/>
    <mergeCell ref="F31:I31"/>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showGridLines="0" topLeftCell="A7" zoomScale="115" zoomScaleNormal="115" workbookViewId="0">
      <selection activeCell="A20" sqref="A20"/>
    </sheetView>
  </sheetViews>
  <sheetFormatPr defaultColWidth="14.42578125" defaultRowHeight="15" customHeight="1"/>
  <cols>
    <col min="1" max="1" width="11" customWidth="1"/>
    <col min="2" max="2" width="12.85546875" customWidth="1"/>
    <col min="3" max="3" width="10.140625" customWidth="1"/>
    <col min="4" max="4" width="15.42578125" customWidth="1"/>
    <col min="5" max="5" width="15.85546875" customWidth="1"/>
    <col min="6" max="6" width="8.7109375" customWidth="1"/>
    <col min="7" max="7" width="10.28515625" customWidth="1"/>
    <col min="8" max="8" width="10" customWidth="1"/>
    <col min="9" max="9" width="8.7109375" customWidth="1"/>
    <col min="10" max="10" width="10.140625" customWidth="1"/>
    <col min="11" max="11" width="11.28515625" customWidth="1"/>
    <col min="12" max="12" width="10.140625" customWidth="1"/>
  </cols>
  <sheetData>
    <row r="1" spans="1:12" ht="18.75">
      <c r="A1" s="158" t="s">
        <v>136</v>
      </c>
      <c r="B1" s="149"/>
      <c r="C1" s="2"/>
      <c r="D1" s="2"/>
      <c r="E1" s="2"/>
      <c r="F1" s="2"/>
      <c r="G1" s="2"/>
      <c r="H1" s="2"/>
      <c r="I1" s="2"/>
      <c r="J1" s="2"/>
      <c r="K1" s="2"/>
      <c r="L1" s="2"/>
    </row>
    <row r="3" spans="1:12" ht="18.75">
      <c r="A3" s="3" t="s">
        <v>1</v>
      </c>
    </row>
    <row r="4" spans="1:12">
      <c r="A4" s="141" t="s">
        <v>137</v>
      </c>
      <c r="B4" s="142"/>
      <c r="C4" s="142"/>
      <c r="D4" s="142"/>
      <c r="E4" s="142"/>
      <c r="F4" s="142"/>
      <c r="G4" s="142"/>
      <c r="H4" s="142"/>
      <c r="I4" s="142"/>
      <c r="J4" s="142"/>
    </row>
    <row r="5" spans="1:12" ht="15" customHeight="1">
      <c r="A5" s="142"/>
      <c r="B5" s="142"/>
      <c r="C5" s="142"/>
      <c r="D5" s="142"/>
      <c r="E5" s="142"/>
      <c r="F5" s="142"/>
      <c r="G5" s="142"/>
      <c r="H5" s="142"/>
      <c r="I5" s="142"/>
      <c r="J5" s="142"/>
    </row>
    <row r="6" spans="1:12">
      <c r="A6" s="7"/>
      <c r="B6" s="7"/>
      <c r="C6" s="7"/>
      <c r="D6" s="7"/>
      <c r="E6" s="7"/>
      <c r="F6" s="7"/>
      <c r="G6" s="7"/>
      <c r="H6" s="7"/>
      <c r="I6" s="7"/>
      <c r="J6" s="7"/>
    </row>
    <row r="7" spans="1:12" ht="18.75">
      <c r="A7" s="3" t="s">
        <v>3</v>
      </c>
    </row>
    <row r="8" spans="1:12" ht="15.75">
      <c r="A8" s="5" t="s">
        <v>138</v>
      </c>
    </row>
    <row r="10" spans="1:12" ht="15.75">
      <c r="A10" s="6" t="s">
        <v>41</v>
      </c>
    </row>
    <row r="11" spans="1:12">
      <c r="A11" s="4" t="s">
        <v>109</v>
      </c>
    </row>
    <row r="13" spans="1:12" ht="15.75">
      <c r="A13" s="6" t="s">
        <v>110</v>
      </c>
    </row>
    <row r="14" spans="1:12">
      <c r="A14" s="4" t="s">
        <v>139</v>
      </c>
    </row>
    <row r="16" spans="1:12" ht="15.75">
      <c r="A16" s="6" t="s">
        <v>45</v>
      </c>
    </row>
    <row r="17" spans="1:10">
      <c r="A17" s="4" t="s">
        <v>112</v>
      </c>
    </row>
    <row r="18" spans="1:10">
      <c r="A18" s="8" t="s">
        <v>113</v>
      </c>
      <c r="B18" s="143" t="s">
        <v>116</v>
      </c>
      <c r="C18" s="144"/>
      <c r="D18" s="145"/>
    </row>
    <row r="19" spans="1:10" ht="15" customHeight="1">
      <c r="A19" s="9">
        <v>1</v>
      </c>
      <c r="B19" s="9">
        <f>_xlfn.IFNA(A19,9999)</f>
        <v>1</v>
      </c>
      <c r="C19" s="146" t="s">
        <v>140</v>
      </c>
      <c r="D19" s="145"/>
      <c r="F19" s="150" t="s">
        <v>141</v>
      </c>
      <c r="G19" s="151"/>
      <c r="H19" s="152"/>
    </row>
    <row r="20" spans="1:10">
      <c r="A20" s="21" t="e">
        <v>#N/A</v>
      </c>
      <c r="B20" s="9">
        <f>_xlfn.IFNA(A20,9999)</f>
        <v>9999</v>
      </c>
      <c r="C20" s="146" t="s">
        <v>142</v>
      </c>
      <c r="D20" s="145"/>
      <c r="F20" s="153"/>
      <c r="G20" s="142"/>
      <c r="H20" s="154"/>
    </row>
    <row r="21" spans="1:10" ht="15.75" customHeight="1">
      <c r="A21" s="6"/>
      <c r="F21" s="155"/>
      <c r="G21" s="156"/>
      <c r="H21" s="157"/>
    </row>
    <row r="22" spans="1:10" ht="15.75" customHeight="1">
      <c r="A22" s="6"/>
    </row>
    <row r="23" spans="1:10" ht="15.75" customHeight="1">
      <c r="A23" s="6" t="s">
        <v>27</v>
      </c>
    </row>
    <row r="24" spans="1:10" ht="15" customHeight="1">
      <c r="A24" s="141" t="s">
        <v>143</v>
      </c>
      <c r="B24" s="142"/>
      <c r="C24" s="142"/>
      <c r="D24" s="142"/>
      <c r="E24" s="142"/>
      <c r="F24" s="142"/>
      <c r="G24" s="142"/>
      <c r="H24" s="142"/>
      <c r="I24" s="142"/>
      <c r="J24" s="142"/>
    </row>
    <row r="25" spans="1:10" ht="15.75" customHeight="1">
      <c r="A25" s="142"/>
      <c r="B25" s="142"/>
      <c r="C25" s="142"/>
      <c r="D25" s="142"/>
      <c r="E25" s="142"/>
      <c r="F25" s="142"/>
      <c r="G25" s="142"/>
      <c r="H25" s="142"/>
      <c r="I25" s="142"/>
      <c r="J25" s="142"/>
    </row>
    <row r="26" spans="1:10" ht="37.5" customHeight="1">
      <c r="A26" s="12" t="s">
        <v>29</v>
      </c>
      <c r="B26" s="12" t="s">
        <v>30</v>
      </c>
      <c r="C26" s="13" t="s">
        <v>133</v>
      </c>
      <c r="D26" s="13" t="s">
        <v>134</v>
      </c>
    </row>
    <row r="27" spans="1:10" ht="15.75" customHeight="1">
      <c r="A27" s="9" t="s">
        <v>32</v>
      </c>
      <c r="B27" s="9" t="s">
        <v>33</v>
      </c>
      <c r="C27" s="23">
        <v>80000</v>
      </c>
      <c r="D27" s="14">
        <f>_xlfn.IFNA(C27/12, "ERROR IN SALARY")</f>
        <v>6666.666666666667</v>
      </c>
    </row>
    <row r="28" spans="1:10" ht="15.75" customHeight="1">
      <c r="A28" s="9" t="s">
        <v>34</v>
      </c>
      <c r="B28" s="9" t="s">
        <v>35</v>
      </c>
      <c r="C28" s="23">
        <v>50000</v>
      </c>
      <c r="D28" s="14">
        <f t="shared" ref="D28:D30" si="0">_xlfn.IFNA(C28/12, "ERROR IN SALARY")</f>
        <v>4166.666666666667</v>
      </c>
    </row>
    <row r="29" spans="1:10" ht="15.75" customHeight="1">
      <c r="A29" s="9" t="s">
        <v>36</v>
      </c>
      <c r="B29" s="9" t="s">
        <v>35</v>
      </c>
      <c r="C29" s="14" t="e">
        <v>#N/A</v>
      </c>
      <c r="D29" s="14" t="str">
        <f t="shared" si="0"/>
        <v>ERROR IN SALARY</v>
      </c>
    </row>
    <row r="30" spans="1:10" ht="15.75" customHeight="1">
      <c r="A30" s="9" t="s">
        <v>37</v>
      </c>
      <c r="B30" s="9" t="s">
        <v>35</v>
      </c>
      <c r="C30" s="23">
        <v>40000</v>
      </c>
      <c r="D30" s="14">
        <f t="shared" si="0"/>
        <v>3333.3333333333335</v>
      </c>
    </row>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4:J25"/>
    <mergeCell ref="A1:B1"/>
    <mergeCell ref="A4:J5"/>
    <mergeCell ref="B18:D18"/>
    <mergeCell ref="C19:D19"/>
    <mergeCell ref="F19:H21"/>
    <mergeCell ref="C20:D20"/>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0"/>
  <sheetViews>
    <sheetView showGridLines="0" workbookViewId="0">
      <selection sqref="A1:B1"/>
    </sheetView>
  </sheetViews>
  <sheetFormatPr defaultColWidth="14.42578125" defaultRowHeight="15" customHeight="1"/>
  <cols>
    <col min="1" max="1" width="11" customWidth="1"/>
    <col min="2" max="2" width="12.85546875" customWidth="1"/>
    <col min="3" max="3" width="10.140625" customWidth="1"/>
    <col min="4" max="4" width="15.42578125" customWidth="1"/>
    <col min="5" max="5" width="15.85546875" customWidth="1"/>
    <col min="6" max="6" width="8.7109375" customWidth="1"/>
    <col min="7" max="7" width="10.28515625" customWidth="1"/>
    <col min="8" max="9" width="8.7109375" customWidth="1"/>
    <col min="10" max="10" width="10.140625" customWidth="1"/>
    <col min="11" max="11" width="11.28515625" customWidth="1"/>
    <col min="12" max="12" width="10.140625" customWidth="1"/>
  </cols>
  <sheetData>
    <row r="1" spans="1:12" ht="31.5">
      <c r="A1" s="148" t="s">
        <v>144</v>
      </c>
      <c r="B1" s="149"/>
      <c r="C1" s="2"/>
      <c r="D1" s="2"/>
      <c r="E1" s="2"/>
      <c r="F1" s="2"/>
      <c r="G1" s="2"/>
      <c r="H1" s="2"/>
      <c r="I1" s="2"/>
      <c r="J1" s="2"/>
      <c r="K1" s="2"/>
      <c r="L1" s="2"/>
    </row>
    <row r="3" spans="1:12" ht="18.75">
      <c r="A3" s="3" t="s">
        <v>1</v>
      </c>
    </row>
    <row r="4" spans="1:12">
      <c r="A4" s="141" t="s">
        <v>145</v>
      </c>
      <c r="B4" s="142"/>
      <c r="C4" s="142"/>
      <c r="D4" s="142"/>
      <c r="E4" s="142"/>
      <c r="F4" s="142"/>
      <c r="G4" s="142"/>
      <c r="H4" s="142"/>
      <c r="I4" s="142"/>
      <c r="J4" s="142"/>
    </row>
    <row r="5" spans="1:12" ht="15" customHeight="1">
      <c r="A5" s="142"/>
      <c r="B5" s="142"/>
      <c r="C5" s="142"/>
      <c r="D5" s="142"/>
      <c r="E5" s="142"/>
      <c r="F5" s="142"/>
      <c r="G5" s="142"/>
      <c r="H5" s="142"/>
      <c r="I5" s="142"/>
      <c r="J5" s="142"/>
    </row>
    <row r="6" spans="1:12">
      <c r="A6" s="7"/>
      <c r="B6" s="7"/>
      <c r="C6" s="7"/>
      <c r="D6" s="7"/>
      <c r="E6" s="7"/>
      <c r="F6" s="7"/>
      <c r="G6" s="7"/>
      <c r="H6" s="7"/>
      <c r="I6" s="7"/>
      <c r="J6" s="7"/>
    </row>
    <row r="7" spans="1:12" ht="18.75">
      <c r="A7" s="3" t="s">
        <v>3</v>
      </c>
    </row>
    <row r="8" spans="1:12" ht="15.75">
      <c r="A8" s="5" t="s">
        <v>146</v>
      </c>
    </row>
    <row r="10" spans="1:12" ht="15.75">
      <c r="A10" s="6" t="s">
        <v>147</v>
      </c>
    </row>
    <row r="11" spans="1:12">
      <c r="A11" s="4" t="s">
        <v>148</v>
      </c>
    </row>
    <row r="13" spans="1:12" ht="15.75">
      <c r="A13" s="6" t="s">
        <v>149</v>
      </c>
    </row>
    <row r="14" spans="1:12">
      <c r="A14" s="4" t="s">
        <v>150</v>
      </c>
    </row>
    <row r="16" spans="1:12" ht="15.75">
      <c r="A16" s="6" t="s">
        <v>45</v>
      </c>
    </row>
    <row r="17" spans="1:10">
      <c r="A17" s="4" t="s">
        <v>46</v>
      </c>
    </row>
    <row r="18" spans="1:10">
      <c r="A18" s="8" t="s">
        <v>113</v>
      </c>
      <c r="B18" s="8" t="s">
        <v>114</v>
      </c>
      <c r="C18" s="8" t="s">
        <v>49</v>
      </c>
      <c r="D18" s="143" t="s">
        <v>16</v>
      </c>
      <c r="E18" s="145"/>
    </row>
    <row r="19" spans="1:10">
      <c r="A19" s="22" t="s">
        <v>151</v>
      </c>
      <c r="B19" s="22" t="s">
        <v>151</v>
      </c>
      <c r="C19" s="9" t="b">
        <f t="shared" ref="C19:C20" si="0">EXACT(A19,B19)</f>
        <v>1</v>
      </c>
      <c r="D19" s="146" t="s">
        <v>152</v>
      </c>
      <c r="E19" s="145"/>
    </row>
    <row r="20" spans="1:10">
      <c r="A20" s="22" t="s">
        <v>151</v>
      </c>
      <c r="B20" s="22" t="s">
        <v>153</v>
      </c>
      <c r="C20" s="9" t="b">
        <f t="shared" si="0"/>
        <v>0</v>
      </c>
      <c r="D20" s="146" t="s">
        <v>154</v>
      </c>
      <c r="E20" s="145"/>
    </row>
    <row r="21" spans="1:10" ht="15.75" customHeight="1">
      <c r="A21" s="6"/>
    </row>
    <row r="22" spans="1:10" ht="15.75" customHeight="1">
      <c r="A22" s="6" t="s">
        <v>25</v>
      </c>
    </row>
    <row r="23" spans="1:10" ht="15.75" customHeight="1">
      <c r="A23" s="141" t="s">
        <v>155</v>
      </c>
      <c r="B23" s="142"/>
      <c r="C23" s="142"/>
      <c r="D23" s="142"/>
      <c r="E23" s="142"/>
      <c r="F23" s="142"/>
      <c r="G23" s="142"/>
      <c r="H23" s="142"/>
      <c r="I23" s="142"/>
      <c r="J23" s="142"/>
    </row>
    <row r="24" spans="1:10" ht="15.75" customHeight="1">
      <c r="A24" s="142"/>
      <c r="B24" s="142"/>
      <c r="C24" s="142"/>
      <c r="D24" s="142"/>
      <c r="E24" s="142"/>
      <c r="F24" s="142"/>
      <c r="G24" s="142"/>
      <c r="H24" s="142"/>
      <c r="I24" s="142"/>
      <c r="J24" s="142"/>
    </row>
    <row r="25" spans="1:10" ht="15.75" customHeight="1">
      <c r="A25" s="6"/>
    </row>
    <row r="26" spans="1:10" ht="15.75" customHeight="1">
      <c r="A26" s="6" t="s">
        <v>27</v>
      </c>
    </row>
    <row r="27" spans="1:10" ht="15" customHeight="1">
      <c r="A27" s="141" t="s">
        <v>156</v>
      </c>
      <c r="B27" s="142"/>
      <c r="C27" s="142"/>
      <c r="D27" s="142"/>
      <c r="E27" s="142"/>
      <c r="F27" s="142"/>
      <c r="G27" s="142"/>
      <c r="H27" s="142"/>
      <c r="I27" s="142"/>
      <c r="J27" s="142"/>
    </row>
    <row r="28" spans="1:10" ht="15.75" customHeight="1">
      <c r="A28" s="12" t="s">
        <v>113</v>
      </c>
      <c r="B28" s="12" t="s">
        <v>114</v>
      </c>
      <c r="C28" s="12" t="s">
        <v>157</v>
      </c>
    </row>
    <row r="29" spans="1:10" ht="15.75" customHeight="1">
      <c r="A29" s="9" t="s">
        <v>158</v>
      </c>
      <c r="B29" s="9" t="s">
        <v>159</v>
      </c>
      <c r="C29" s="14" t="b">
        <f t="shared" ref="C29:C32" si="1">EXACT(A29,B29)</f>
        <v>0</v>
      </c>
    </row>
    <row r="30" spans="1:10" ht="15.75" customHeight="1">
      <c r="A30" s="9" t="s">
        <v>158</v>
      </c>
      <c r="B30" s="9" t="s">
        <v>158</v>
      </c>
      <c r="C30" s="14" t="b">
        <f t="shared" si="1"/>
        <v>1</v>
      </c>
    </row>
    <row r="31" spans="1:10" ht="15.75" customHeight="1">
      <c r="A31" s="9">
        <v>1234</v>
      </c>
      <c r="B31" s="9">
        <v>1234</v>
      </c>
      <c r="C31" s="14" t="b">
        <f t="shared" si="1"/>
        <v>1</v>
      </c>
    </row>
    <row r="32" spans="1:10" ht="15.75" customHeight="1">
      <c r="A32" s="9">
        <v>1.1000000000000001</v>
      </c>
      <c r="B32" s="9">
        <v>1.101</v>
      </c>
      <c r="C32" s="14" t="b">
        <f t="shared" si="1"/>
        <v>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3:J24"/>
    <mergeCell ref="A27:J27"/>
    <mergeCell ref="A1:B1"/>
    <mergeCell ref="A4:J5"/>
    <mergeCell ref="D18:E18"/>
    <mergeCell ref="D19:E19"/>
    <mergeCell ref="D20:E20"/>
  </mergeCell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showGridLines="0" topLeftCell="A16" workbookViewId="0">
      <selection sqref="A1:B1"/>
    </sheetView>
  </sheetViews>
  <sheetFormatPr defaultColWidth="14.42578125" defaultRowHeight="15" customHeight="1"/>
  <cols>
    <col min="1" max="1" width="12.140625" customWidth="1"/>
    <col min="2" max="2" width="16" customWidth="1"/>
    <col min="3" max="3" width="10.140625" customWidth="1"/>
    <col min="4" max="4" width="15.42578125" customWidth="1"/>
    <col min="5" max="5" width="15.85546875" customWidth="1"/>
    <col min="6" max="6" width="8.7109375" customWidth="1"/>
    <col min="7" max="7" width="10.28515625" customWidth="1"/>
    <col min="8" max="9" width="8.7109375" customWidth="1"/>
    <col min="10" max="10" width="10.140625" customWidth="1"/>
    <col min="11" max="11" width="11.28515625" customWidth="1"/>
    <col min="12" max="12" width="10.140625" customWidth="1"/>
  </cols>
  <sheetData>
    <row r="1" spans="1:12" ht="31.5">
      <c r="A1" s="148" t="s">
        <v>160</v>
      </c>
      <c r="B1" s="149"/>
      <c r="C1" s="2"/>
      <c r="D1" s="2"/>
      <c r="E1" s="2"/>
      <c r="F1" s="2"/>
      <c r="G1" s="2"/>
      <c r="H1" s="2"/>
      <c r="I1" s="2"/>
      <c r="J1" s="2"/>
      <c r="K1" s="2"/>
      <c r="L1" s="2"/>
    </row>
    <row r="3" spans="1:12" ht="18.75">
      <c r="A3" s="3" t="s">
        <v>1</v>
      </c>
    </row>
    <row r="4" spans="1:12">
      <c r="A4" s="141" t="s">
        <v>161</v>
      </c>
      <c r="B4" s="142"/>
      <c r="C4" s="142"/>
      <c r="D4" s="142"/>
      <c r="E4" s="142"/>
      <c r="F4" s="142"/>
      <c r="G4" s="142"/>
      <c r="H4" s="142"/>
      <c r="I4" s="142"/>
      <c r="J4" s="142"/>
    </row>
    <row r="5" spans="1:12">
      <c r="A5" s="7"/>
      <c r="B5" s="7"/>
      <c r="C5" s="7"/>
      <c r="D5" s="7"/>
      <c r="E5" s="7"/>
      <c r="F5" s="7"/>
      <c r="G5" s="7"/>
      <c r="H5" s="7"/>
      <c r="I5" s="7"/>
      <c r="J5" s="7"/>
    </row>
    <row r="6" spans="1:12" ht="18.75">
      <c r="A6" s="3" t="s">
        <v>3</v>
      </c>
    </row>
    <row r="7" spans="1:12" ht="15.75">
      <c r="A7" s="5" t="s">
        <v>162</v>
      </c>
    </row>
    <row r="9" spans="1:12" ht="15.75">
      <c r="A9" s="6" t="s">
        <v>163</v>
      </c>
    </row>
    <row r="10" spans="1:12">
      <c r="A10" s="4" t="s">
        <v>164</v>
      </c>
    </row>
    <row r="12" spans="1:12" ht="15.75">
      <c r="A12" s="6" t="s">
        <v>165</v>
      </c>
    </row>
    <row r="13" spans="1:12">
      <c r="A13" s="4" t="s">
        <v>166</v>
      </c>
    </row>
    <row r="15" spans="1:12" ht="15.75">
      <c r="A15" s="6" t="s">
        <v>45</v>
      </c>
    </row>
    <row r="16" spans="1:12">
      <c r="A16" s="4" t="s">
        <v>167</v>
      </c>
    </row>
    <row r="17" spans="1:10">
      <c r="A17" s="8" t="s">
        <v>113</v>
      </c>
      <c r="B17" s="8" t="s">
        <v>49</v>
      </c>
      <c r="C17" s="143" t="s">
        <v>16</v>
      </c>
      <c r="D17" s="145"/>
    </row>
    <row r="18" spans="1:10">
      <c r="A18" s="24">
        <v>42821</v>
      </c>
      <c r="B18" s="9" t="str">
        <f>TEXT(A18, "dd/mm/yyyy")</f>
        <v>27/03/2017</v>
      </c>
      <c r="C18" s="146" t="s">
        <v>168</v>
      </c>
      <c r="D18" s="145"/>
    </row>
    <row r="19" spans="1:10">
      <c r="A19" s="9">
        <v>42821</v>
      </c>
      <c r="B19" s="9" t="str">
        <f>TEXT(A19, "dd/m/yyyy")</f>
        <v>27/3/2017</v>
      </c>
      <c r="C19" s="146" t="s">
        <v>169</v>
      </c>
      <c r="D19" s="145"/>
      <c r="F19" s="160" t="s">
        <v>170</v>
      </c>
      <c r="G19" s="151"/>
      <c r="H19" s="151"/>
      <c r="I19" s="152"/>
    </row>
    <row r="20" spans="1:10">
      <c r="A20" s="9">
        <v>42821</v>
      </c>
      <c r="B20" s="9" t="str">
        <f>TEXT(A20, "mmm dd yyyy")</f>
        <v>Mar 27 2017</v>
      </c>
      <c r="C20" s="146" t="s">
        <v>171</v>
      </c>
      <c r="D20" s="145"/>
      <c r="F20" s="153"/>
      <c r="G20" s="142"/>
      <c r="H20" s="142"/>
      <c r="I20" s="154"/>
    </row>
    <row r="21" spans="1:10" ht="15.75" customHeight="1">
      <c r="A21" s="24">
        <v>42821</v>
      </c>
      <c r="B21" s="9" t="str">
        <f>TEXT(A21,"mmm-yy")</f>
        <v>Mar-17</v>
      </c>
      <c r="C21" s="146" t="s">
        <v>172</v>
      </c>
      <c r="D21" s="145"/>
      <c r="F21" s="153"/>
      <c r="G21" s="142"/>
      <c r="H21" s="142"/>
      <c r="I21" s="154"/>
    </row>
    <row r="22" spans="1:10" ht="15.75" customHeight="1">
      <c r="A22" s="9">
        <v>14.141413999999999</v>
      </c>
      <c r="B22" s="9" t="str">
        <f>TEXT(A22, "0.00")</f>
        <v>14.14</v>
      </c>
      <c r="C22" s="146" t="s">
        <v>173</v>
      </c>
      <c r="D22" s="145"/>
      <c r="F22" s="153"/>
      <c r="G22" s="142"/>
      <c r="H22" s="142"/>
      <c r="I22" s="154"/>
    </row>
    <row r="23" spans="1:10" ht="15.75" customHeight="1">
      <c r="A23" s="9">
        <v>14598.12</v>
      </c>
      <c r="B23" s="9" t="str">
        <f>TEXT(A23, "$#,##0.00")</f>
        <v>$14,598.12</v>
      </c>
      <c r="C23" s="146" t="s">
        <v>174</v>
      </c>
      <c r="D23" s="145"/>
      <c r="F23" s="155"/>
      <c r="G23" s="156"/>
      <c r="H23" s="156"/>
      <c r="I23" s="157"/>
    </row>
    <row r="24" spans="1:10" ht="15.75" customHeight="1">
      <c r="A24" s="9">
        <v>14598.12</v>
      </c>
      <c r="B24" s="9" t="str">
        <f>TEXT(A24, "£#,##0.00")</f>
        <v>£14,598.12</v>
      </c>
      <c r="C24" s="146" t="s">
        <v>175</v>
      </c>
      <c r="D24" s="145"/>
    </row>
    <row r="25" spans="1:10" ht="15.75" customHeight="1">
      <c r="A25" s="25">
        <v>0.58333333333333337</v>
      </c>
      <c r="B25" s="9" t="str">
        <f>TEXT(A25, "hh:mm")</f>
        <v>14:00</v>
      </c>
      <c r="C25" s="146" t="s">
        <v>176</v>
      </c>
      <c r="D25" s="145"/>
    </row>
    <row r="26" spans="1:10" ht="15.75" customHeight="1">
      <c r="A26" s="6"/>
    </row>
    <row r="27" spans="1:10" ht="15.75" customHeight="1">
      <c r="A27" s="6" t="s">
        <v>177</v>
      </c>
    </row>
    <row r="28" spans="1:10" ht="15.75" customHeight="1">
      <c r="A28" s="141" t="s">
        <v>178</v>
      </c>
      <c r="B28" s="142"/>
      <c r="C28" s="142"/>
      <c r="D28" s="142"/>
      <c r="E28" s="142"/>
      <c r="F28" s="142"/>
      <c r="G28" s="142"/>
      <c r="H28" s="142"/>
      <c r="I28" s="142"/>
      <c r="J28" s="142"/>
    </row>
    <row r="29" spans="1:10" ht="15.75" customHeight="1">
      <c r="A29" s="142"/>
      <c r="B29" s="142"/>
      <c r="C29" s="142"/>
      <c r="D29" s="142"/>
      <c r="E29" s="142"/>
      <c r="F29" s="142"/>
      <c r="G29" s="142"/>
      <c r="H29" s="142"/>
      <c r="I29" s="142"/>
      <c r="J29" s="142"/>
    </row>
    <row r="30" spans="1:10" ht="15.75" customHeight="1">
      <c r="A30" s="6"/>
    </row>
    <row r="31" spans="1:10" ht="15.75" customHeight="1">
      <c r="A31" s="6" t="s">
        <v>27</v>
      </c>
    </row>
    <row r="32" spans="1:10" ht="15" customHeight="1">
      <c r="A32" s="141" t="s">
        <v>156</v>
      </c>
      <c r="B32" s="142"/>
      <c r="C32" s="142"/>
      <c r="D32" s="142"/>
      <c r="E32" s="142"/>
      <c r="F32" s="142"/>
      <c r="G32" s="142"/>
      <c r="H32" s="142"/>
      <c r="I32" s="142"/>
      <c r="J32" s="142"/>
    </row>
    <row r="33" spans="1:3" ht="15.75" customHeight="1">
      <c r="A33" s="12" t="s">
        <v>163</v>
      </c>
      <c r="B33" s="12" t="s">
        <v>179</v>
      </c>
      <c r="C33" s="12" t="s">
        <v>157</v>
      </c>
    </row>
    <row r="34" spans="1:3" ht="15.75" customHeight="1">
      <c r="A34" s="24">
        <v>42876</v>
      </c>
      <c r="B34" s="24">
        <v>42876</v>
      </c>
      <c r="C34" s="14" t="b">
        <f t="shared" ref="C34:C38" si="0">EXACT(A34,B34)</f>
        <v>1</v>
      </c>
    </row>
    <row r="35" spans="1:3" ht="15.75" customHeight="1">
      <c r="A35" s="9">
        <v>42876</v>
      </c>
      <c r="B35" s="24">
        <v>42876</v>
      </c>
      <c r="C35" s="14" t="b">
        <f t="shared" si="0"/>
        <v>1</v>
      </c>
    </row>
    <row r="36" spans="1:3" ht="15.75" customHeight="1">
      <c r="A36" s="25">
        <v>0.5</v>
      </c>
      <c r="B36" s="25">
        <v>0.5</v>
      </c>
      <c r="C36" s="14" t="b">
        <f t="shared" si="0"/>
        <v>1</v>
      </c>
    </row>
    <row r="37" spans="1:3" ht="15.75" customHeight="1">
      <c r="A37" s="9">
        <v>12345.78</v>
      </c>
      <c r="B37" s="26">
        <v>12345.78</v>
      </c>
      <c r="C37" s="14" t="b">
        <f t="shared" si="0"/>
        <v>1</v>
      </c>
    </row>
    <row r="38" spans="1:3" ht="15.75" customHeight="1">
      <c r="A38" s="9">
        <v>12345.78</v>
      </c>
      <c r="B38" s="27">
        <v>12346</v>
      </c>
      <c r="C38" s="14" t="b">
        <f t="shared" si="0"/>
        <v>0</v>
      </c>
    </row>
    <row r="39" spans="1:3" ht="15.75" customHeight="1">
      <c r="A39" s="28"/>
    </row>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8:J29"/>
    <mergeCell ref="A32:J32"/>
    <mergeCell ref="A1:B1"/>
    <mergeCell ref="A4:J4"/>
    <mergeCell ref="C17:D17"/>
    <mergeCell ref="C18:D18"/>
    <mergeCell ref="C19:D19"/>
    <mergeCell ref="F19:I23"/>
    <mergeCell ref="C20:D20"/>
    <mergeCell ref="C21:D21"/>
    <mergeCell ref="C22:D22"/>
    <mergeCell ref="C24:D24"/>
    <mergeCell ref="C25:D25"/>
    <mergeCell ref="C23:D23"/>
  </mergeCells>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0"/>
  <sheetViews>
    <sheetView showGridLines="0" topLeftCell="A13" workbookViewId="0">
      <selection sqref="A1:C1"/>
    </sheetView>
  </sheetViews>
  <sheetFormatPr defaultColWidth="14.42578125" defaultRowHeight="15" customHeight="1"/>
  <cols>
    <col min="1" max="1" width="10" customWidth="1"/>
    <col min="2" max="2" width="11.5703125" customWidth="1"/>
    <col min="3" max="3" width="10.140625" customWidth="1"/>
    <col min="4" max="4" width="15.5703125" customWidth="1"/>
    <col min="5" max="5" width="14.5703125" customWidth="1"/>
    <col min="6" max="6" width="8.710937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180</v>
      </c>
      <c r="B1" s="149"/>
      <c r="C1" s="149"/>
      <c r="D1" s="2"/>
      <c r="E1" s="2"/>
      <c r="F1" s="2"/>
      <c r="G1" s="2"/>
      <c r="H1" s="2"/>
      <c r="I1" s="2"/>
      <c r="J1" s="2"/>
      <c r="K1" s="2"/>
      <c r="L1" s="2"/>
    </row>
    <row r="3" spans="1:12" ht="18.75">
      <c r="A3" s="3" t="s">
        <v>1</v>
      </c>
    </row>
    <row r="4" spans="1:12">
      <c r="A4" s="4" t="s">
        <v>181</v>
      </c>
    </row>
    <row r="6" spans="1:12" ht="18.75">
      <c r="A6" s="3" t="s">
        <v>3</v>
      </c>
    </row>
    <row r="7" spans="1:12" ht="15.75">
      <c r="A7" s="5" t="s">
        <v>182</v>
      </c>
    </row>
    <row r="8" spans="1:12">
      <c r="A8" s="4" t="s">
        <v>93</v>
      </c>
    </row>
    <row r="9" spans="1:12" ht="15.75">
      <c r="A9" s="5" t="s">
        <v>183</v>
      </c>
    </row>
    <row r="11" spans="1:12" ht="15.75">
      <c r="A11" s="6" t="s">
        <v>184</v>
      </c>
    </row>
    <row r="12" spans="1:12">
      <c r="A12" s="4" t="s">
        <v>185</v>
      </c>
    </row>
    <row r="14" spans="1:12" ht="15.75">
      <c r="A14" s="6" t="s">
        <v>186</v>
      </c>
    </row>
    <row r="15" spans="1:12">
      <c r="A15" s="4" t="s">
        <v>187</v>
      </c>
    </row>
    <row r="17" spans="1:11" ht="15.75">
      <c r="A17" s="6" t="s">
        <v>11</v>
      </c>
    </row>
    <row r="18" spans="1:11">
      <c r="A18" s="4" t="s">
        <v>188</v>
      </c>
    </row>
    <row r="19" spans="1:11">
      <c r="A19" s="8" t="s">
        <v>189</v>
      </c>
      <c r="B19" s="8" t="s">
        <v>190</v>
      </c>
      <c r="C19" s="8" t="s">
        <v>191</v>
      </c>
      <c r="D19" s="8" t="s">
        <v>49</v>
      </c>
      <c r="E19" s="143" t="s">
        <v>16</v>
      </c>
      <c r="F19" s="144"/>
      <c r="G19" s="145"/>
    </row>
    <row r="20" spans="1:11">
      <c r="A20" s="9" t="s">
        <v>17</v>
      </c>
      <c r="B20" s="9">
        <v>90</v>
      </c>
      <c r="C20" s="9" t="s">
        <v>192</v>
      </c>
      <c r="D20" s="8" t="str">
        <f t="shared" ref="D20:D21" si="0">CONCATENATE(A20,B20,C20)</f>
        <v>S00190Pass</v>
      </c>
      <c r="E20" s="146" t="s">
        <v>193</v>
      </c>
      <c r="F20" s="144"/>
      <c r="G20" s="145"/>
    </row>
    <row r="21" spans="1:11" ht="15.75" customHeight="1">
      <c r="A21" s="9" t="s">
        <v>19</v>
      </c>
      <c r="B21" s="9">
        <v>70</v>
      </c>
      <c r="C21" s="9" t="s">
        <v>192</v>
      </c>
      <c r="D21" s="8" t="str">
        <f t="shared" si="0"/>
        <v>S00270Pass</v>
      </c>
      <c r="E21" s="146" t="s">
        <v>194</v>
      </c>
      <c r="F21" s="144"/>
      <c r="G21" s="145"/>
    </row>
    <row r="22" spans="1:11" ht="15.75" customHeight="1">
      <c r="A22" s="9" t="s">
        <v>21</v>
      </c>
      <c r="B22" s="9">
        <v>20</v>
      </c>
      <c r="C22" s="9" t="s">
        <v>195</v>
      </c>
      <c r="D22" s="8" t="str">
        <f t="shared" ref="D22:D23" si="1">A22&amp;B22&amp;C22</f>
        <v>S00320Fail</v>
      </c>
      <c r="E22" s="146" t="s">
        <v>196</v>
      </c>
      <c r="F22" s="144"/>
      <c r="G22" s="145"/>
    </row>
    <row r="23" spans="1:11" ht="15.75" customHeight="1">
      <c r="A23" s="9" t="s">
        <v>23</v>
      </c>
      <c r="B23" s="9">
        <v>41</v>
      </c>
      <c r="C23" s="9" t="s">
        <v>192</v>
      </c>
      <c r="D23" s="8" t="str">
        <f t="shared" si="1"/>
        <v>S00441Pass</v>
      </c>
      <c r="E23" s="146" t="s">
        <v>197</v>
      </c>
      <c r="F23" s="144"/>
      <c r="G23" s="145"/>
    </row>
    <row r="24" spans="1:11" ht="15.75" customHeight="1">
      <c r="A24" s="9" t="s">
        <v>198</v>
      </c>
      <c r="B24" s="9">
        <v>39</v>
      </c>
      <c r="C24" s="9" t="s">
        <v>195</v>
      </c>
      <c r="D24" s="8" t="str">
        <f>CONCATENATE(A24," ",B24," ",C24)</f>
        <v>S005 39 Fail</v>
      </c>
      <c r="E24" s="146" t="s">
        <v>199</v>
      </c>
      <c r="F24" s="144"/>
      <c r="G24" s="145"/>
      <c r="I24" s="150" t="s">
        <v>200</v>
      </c>
      <c r="J24" s="151"/>
      <c r="K24" s="152"/>
    </row>
    <row r="25" spans="1:11" ht="15.75" customHeight="1">
      <c r="A25" s="9" t="s">
        <v>201</v>
      </c>
      <c r="B25" s="9">
        <v>99</v>
      </c>
      <c r="C25" s="9" t="s">
        <v>192</v>
      </c>
      <c r="D25" s="8" t="str">
        <f>A25&amp;" "&amp;B25&amp;" "&amp;C25</f>
        <v>S006 99 Pass</v>
      </c>
      <c r="E25" s="146" t="s">
        <v>202</v>
      </c>
      <c r="F25" s="144"/>
      <c r="G25" s="145"/>
      <c r="I25" s="153"/>
      <c r="J25" s="142"/>
      <c r="K25" s="154"/>
    </row>
    <row r="26" spans="1:11" ht="15.75" customHeight="1">
      <c r="A26" s="9" t="s">
        <v>203</v>
      </c>
      <c r="B26" s="9">
        <v>11</v>
      </c>
      <c r="C26" s="9" t="s">
        <v>195</v>
      </c>
      <c r="D26" s="8" t="str">
        <f>CONCATENATE(A26,";",B26,";",C26)</f>
        <v>S007;11;Fail</v>
      </c>
      <c r="E26" s="146" t="s">
        <v>204</v>
      </c>
      <c r="F26" s="144"/>
      <c r="G26" s="145"/>
      <c r="I26" s="155"/>
      <c r="J26" s="156"/>
      <c r="K26" s="157"/>
    </row>
    <row r="27" spans="1:11" ht="15.75" customHeight="1"/>
    <row r="28" spans="1:11" ht="15.75" customHeight="1">
      <c r="A28" s="6" t="s">
        <v>25</v>
      </c>
    </row>
    <row r="29" spans="1:11" ht="15.75" customHeight="1">
      <c r="A29" s="141" t="s">
        <v>205</v>
      </c>
      <c r="B29" s="142"/>
      <c r="C29" s="142"/>
      <c r="D29" s="142"/>
      <c r="E29" s="142"/>
      <c r="F29" s="142"/>
      <c r="G29" s="142"/>
      <c r="H29" s="142"/>
      <c r="I29" s="142"/>
      <c r="J29" s="142"/>
    </row>
    <row r="30" spans="1:11" ht="15.75" customHeight="1">
      <c r="A30" s="142"/>
      <c r="B30" s="142"/>
      <c r="C30" s="142"/>
      <c r="D30" s="142"/>
      <c r="E30" s="142"/>
      <c r="F30" s="142"/>
      <c r="G30" s="142"/>
      <c r="H30" s="142"/>
      <c r="I30" s="142"/>
      <c r="J30" s="142"/>
    </row>
    <row r="31" spans="1:11" ht="15.75" customHeight="1">
      <c r="A31" s="7"/>
      <c r="B31" s="7"/>
      <c r="C31" s="7"/>
      <c r="D31" s="7"/>
      <c r="E31" s="7"/>
      <c r="F31" s="7"/>
      <c r="G31" s="7"/>
      <c r="H31" s="7"/>
      <c r="I31" s="7"/>
      <c r="J31" s="7"/>
    </row>
    <row r="32" spans="1:11" ht="15.75" customHeight="1">
      <c r="A32" s="6" t="s">
        <v>27</v>
      </c>
    </row>
    <row r="33" spans="1:9" ht="15.75" customHeight="1">
      <c r="A33" s="4" t="s">
        <v>206</v>
      </c>
    </row>
    <row r="34" spans="1:9" ht="15.75" customHeight="1">
      <c r="A34" s="8" t="s">
        <v>189</v>
      </c>
      <c r="B34" s="8" t="s">
        <v>190</v>
      </c>
      <c r="C34" s="8" t="s">
        <v>191</v>
      </c>
      <c r="D34" s="8" t="s">
        <v>49</v>
      </c>
      <c r="E34" s="8" t="s">
        <v>207</v>
      </c>
      <c r="F34" s="143" t="s">
        <v>16</v>
      </c>
      <c r="G34" s="144"/>
      <c r="H34" s="145"/>
    </row>
    <row r="35" spans="1:9" ht="15.75" customHeight="1">
      <c r="A35" s="9" t="s">
        <v>32</v>
      </c>
      <c r="B35" s="9" t="s">
        <v>33</v>
      </c>
      <c r="C35" s="9">
        <v>800</v>
      </c>
      <c r="D35" s="8" t="s">
        <v>208</v>
      </c>
      <c r="E35" s="9" t="s">
        <v>180</v>
      </c>
      <c r="F35" s="143" t="str">
        <f>CONCATENATE(A35,"-",B35,"-",C35)</f>
        <v>E001-AVP-800</v>
      </c>
      <c r="G35" s="144"/>
      <c r="H35" s="145"/>
      <c r="I35" s="4" t="e">
        <f t="shared" ref="I35:I41" ca="1" si="2">_xludf.FORMULATEXT(F35)</f>
        <v>#NAME?</v>
      </c>
    </row>
    <row r="36" spans="1:9" ht="15.75" customHeight="1">
      <c r="A36" s="9" t="s">
        <v>34</v>
      </c>
      <c r="B36" s="9" t="s">
        <v>35</v>
      </c>
      <c r="C36" s="9">
        <v>500</v>
      </c>
      <c r="D36" s="8" t="s">
        <v>209</v>
      </c>
      <c r="E36" s="9" t="s">
        <v>180</v>
      </c>
      <c r="F36" s="143" t="str">
        <f>CONCATENATE(A36,B36,C36)</f>
        <v>E002Analyst500</v>
      </c>
      <c r="G36" s="144"/>
      <c r="H36" s="145"/>
      <c r="I36" s="4" t="e">
        <f t="shared" ca="1" si="2"/>
        <v>#NAME?</v>
      </c>
    </row>
    <row r="37" spans="1:9" ht="15.75" customHeight="1">
      <c r="A37" s="9" t="s">
        <v>36</v>
      </c>
      <c r="B37" s="9" t="s">
        <v>35</v>
      </c>
      <c r="C37" s="9">
        <v>100</v>
      </c>
      <c r="D37" s="8" t="s">
        <v>210</v>
      </c>
      <c r="E37" s="9" t="s">
        <v>180</v>
      </c>
      <c r="F37" s="143" t="str">
        <f>CONCATENATE(A37,"/",B37,"-",C37)</f>
        <v>E003/Analyst-100</v>
      </c>
      <c r="G37" s="144"/>
      <c r="H37" s="145"/>
      <c r="I37" s="4" t="e">
        <f t="shared" ca="1" si="2"/>
        <v>#NAME?</v>
      </c>
    </row>
    <row r="38" spans="1:9" ht="15.75" customHeight="1">
      <c r="A38" s="9" t="s">
        <v>37</v>
      </c>
      <c r="B38" s="9" t="s">
        <v>35</v>
      </c>
      <c r="C38" s="9">
        <v>400</v>
      </c>
      <c r="D38" s="8" t="s">
        <v>211</v>
      </c>
      <c r="E38" s="9" t="s">
        <v>212</v>
      </c>
      <c r="F38" s="143" t="str">
        <f>A38 &amp; ":" &amp; B38 &amp; ":" &amp; C38</f>
        <v>E004:Analyst:400</v>
      </c>
      <c r="G38" s="144"/>
      <c r="H38" s="145"/>
      <c r="I38" s="4" t="e">
        <f t="shared" ca="1" si="2"/>
        <v>#NAME?</v>
      </c>
    </row>
    <row r="39" spans="1:9" ht="15.75" customHeight="1">
      <c r="A39" s="9" t="s">
        <v>213</v>
      </c>
      <c r="B39" s="9" t="s">
        <v>33</v>
      </c>
      <c r="C39" s="9">
        <v>1000</v>
      </c>
      <c r="D39" s="8" t="s">
        <v>214</v>
      </c>
      <c r="E39" s="9" t="s">
        <v>212</v>
      </c>
      <c r="F39" s="143" t="str">
        <f t="shared" ref="F39:F40" si="3">A39 &amp; " " &amp; B39 &amp; " " &amp; C39</f>
        <v>E005 AVP 1000</v>
      </c>
      <c r="G39" s="144"/>
      <c r="H39" s="145"/>
      <c r="I39" s="4" t="e">
        <f t="shared" ca="1" si="2"/>
        <v>#NAME?</v>
      </c>
    </row>
    <row r="40" spans="1:9" ht="15.75" customHeight="1">
      <c r="A40" s="9" t="s">
        <v>215</v>
      </c>
      <c r="B40" s="9" t="s">
        <v>35</v>
      </c>
      <c r="C40" s="9">
        <v>250</v>
      </c>
      <c r="D40" s="8" t="s">
        <v>216</v>
      </c>
      <c r="E40" s="9" t="s">
        <v>212</v>
      </c>
      <c r="F40" s="143" t="str">
        <f t="shared" si="3"/>
        <v>E006 Analyst 250</v>
      </c>
      <c r="G40" s="144"/>
      <c r="H40" s="145"/>
      <c r="I40" s="4" t="e">
        <f t="shared" ca="1" si="2"/>
        <v>#NAME?</v>
      </c>
    </row>
    <row r="41" spans="1:9" ht="15.75" customHeight="1">
      <c r="A41" s="9" t="s">
        <v>217</v>
      </c>
      <c r="B41" s="9" t="s">
        <v>35</v>
      </c>
      <c r="C41" s="9">
        <v>500</v>
      </c>
      <c r="D41" s="8" t="s">
        <v>218</v>
      </c>
      <c r="E41" s="9" t="s">
        <v>212</v>
      </c>
      <c r="F41" s="143" t="str">
        <f>A41 &amp; ";" &amp; B41 &amp; "*" &amp; C41</f>
        <v>E007;Analyst*500</v>
      </c>
      <c r="G41" s="144"/>
      <c r="H41" s="145"/>
      <c r="I41" s="4" t="e">
        <f t="shared" ca="1" si="2"/>
        <v>#NAME?</v>
      </c>
    </row>
    <row r="42" spans="1:9" ht="15.75" customHeight="1"/>
    <row r="43" spans="1:9" ht="15.75" customHeight="1">
      <c r="D43" s="29"/>
      <c r="E43" s="30"/>
      <c r="I43" s="29"/>
    </row>
    <row r="44" spans="1:9" ht="15.75" customHeight="1">
      <c r="D44" s="29"/>
      <c r="E44" s="30"/>
      <c r="I44" s="29"/>
    </row>
    <row r="45" spans="1:9" ht="15.75" customHeight="1">
      <c r="D45" s="29"/>
      <c r="E45" s="30"/>
    </row>
    <row r="46" spans="1:9" ht="15.75" customHeight="1">
      <c r="D46" s="29"/>
      <c r="E46" s="30"/>
    </row>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F39:H39"/>
    <mergeCell ref="F40:H40"/>
    <mergeCell ref="F41:H41"/>
    <mergeCell ref="E24:G24"/>
    <mergeCell ref="E25:G25"/>
    <mergeCell ref="F34:H34"/>
    <mergeCell ref="F35:H35"/>
    <mergeCell ref="F36:H36"/>
    <mergeCell ref="F37:H37"/>
    <mergeCell ref="F38:H38"/>
    <mergeCell ref="E26:G26"/>
    <mergeCell ref="A29:J30"/>
    <mergeCell ref="A1:C1"/>
    <mergeCell ref="E19:G19"/>
    <mergeCell ref="E20:G20"/>
    <mergeCell ref="E21:G21"/>
    <mergeCell ref="E22:G22"/>
    <mergeCell ref="E23:G23"/>
    <mergeCell ref="I24:K26"/>
  </mergeCells>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00"/>
  <sheetViews>
    <sheetView showGridLines="0" workbookViewId="0">
      <selection sqref="A1:B1"/>
    </sheetView>
  </sheetViews>
  <sheetFormatPr defaultColWidth="14.42578125" defaultRowHeight="15" customHeight="1"/>
  <cols>
    <col min="1" max="1" width="10" customWidth="1"/>
    <col min="2" max="2" width="11.5703125" customWidth="1"/>
    <col min="3" max="3" width="10.140625" customWidth="1"/>
    <col min="4" max="4" width="15.5703125" customWidth="1"/>
    <col min="5" max="5" width="14.5703125" customWidth="1"/>
    <col min="6" max="6" width="8.710937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219</v>
      </c>
      <c r="B1" s="149"/>
      <c r="C1" s="31"/>
      <c r="D1" s="2"/>
      <c r="E1" s="2"/>
      <c r="F1" s="2"/>
      <c r="G1" s="2"/>
      <c r="H1" s="2"/>
      <c r="I1" s="2"/>
      <c r="J1" s="2"/>
      <c r="K1" s="2"/>
      <c r="L1" s="2"/>
    </row>
    <row r="3" spans="1:12" ht="18.75">
      <c r="A3" s="3" t="s">
        <v>1</v>
      </c>
    </row>
    <row r="4" spans="1:12">
      <c r="A4" s="162" t="s">
        <v>220</v>
      </c>
      <c r="B4" s="142"/>
      <c r="C4" s="142"/>
      <c r="D4" s="142"/>
      <c r="E4" s="142"/>
      <c r="F4" s="142"/>
      <c r="G4" s="142"/>
      <c r="H4" s="142"/>
      <c r="I4" s="142"/>
      <c r="J4" s="142"/>
    </row>
    <row r="5" spans="1:12" ht="15" customHeight="1">
      <c r="A5" s="142"/>
      <c r="B5" s="142"/>
      <c r="C5" s="142"/>
      <c r="D5" s="142"/>
      <c r="E5" s="142"/>
      <c r="F5" s="142"/>
      <c r="G5" s="142"/>
      <c r="H5" s="142"/>
      <c r="I5" s="142"/>
      <c r="J5" s="142"/>
    </row>
    <row r="6" spans="1:12">
      <c r="A6" s="32"/>
      <c r="B6" s="32"/>
      <c r="C6" s="32"/>
      <c r="D6" s="32"/>
      <c r="E6" s="32"/>
      <c r="F6" s="32"/>
      <c r="G6" s="32"/>
      <c r="H6" s="32"/>
      <c r="I6" s="32"/>
      <c r="J6" s="32"/>
    </row>
    <row r="7" spans="1:12" ht="18.75">
      <c r="A7" s="3" t="s">
        <v>3</v>
      </c>
    </row>
    <row r="8" spans="1:12" ht="15.75">
      <c r="A8" s="5" t="s">
        <v>221</v>
      </c>
    </row>
    <row r="10" spans="1:12" ht="15.75">
      <c r="A10" s="6" t="s">
        <v>222</v>
      </c>
    </row>
    <row r="11" spans="1:12">
      <c r="A11" s="4" t="s">
        <v>185</v>
      </c>
    </row>
    <row r="13" spans="1:12" ht="15.75">
      <c r="A13" s="6" t="s">
        <v>11</v>
      </c>
    </row>
    <row r="14" spans="1:12">
      <c r="A14" s="4" t="s">
        <v>223</v>
      </c>
    </row>
    <row r="15" spans="1:12">
      <c r="A15" s="8" t="s">
        <v>189</v>
      </c>
      <c r="B15" s="8" t="s">
        <v>49</v>
      </c>
      <c r="C15" s="143" t="s">
        <v>16</v>
      </c>
      <c r="D15" s="144"/>
      <c r="E15" s="145"/>
    </row>
    <row r="16" spans="1:12">
      <c r="A16" s="9" t="s">
        <v>224</v>
      </c>
      <c r="B16" s="8" t="str">
        <f t="shared" ref="B16:B19" si="0">TRIM(A16)</f>
        <v>S001 A</v>
      </c>
      <c r="C16" s="146" t="s">
        <v>225</v>
      </c>
      <c r="D16" s="144"/>
      <c r="E16" s="145"/>
    </row>
    <row r="17" spans="1:10">
      <c r="A17" s="9" t="s">
        <v>226</v>
      </c>
      <c r="B17" s="8" t="str">
        <f t="shared" si="0"/>
        <v>S001 A</v>
      </c>
      <c r="C17" s="146" t="s">
        <v>227</v>
      </c>
      <c r="D17" s="144"/>
      <c r="E17" s="145"/>
    </row>
    <row r="18" spans="1:10">
      <c r="A18" s="9" t="s">
        <v>228</v>
      </c>
      <c r="B18" s="8" t="str">
        <f t="shared" si="0"/>
        <v>S002</v>
      </c>
      <c r="C18" s="146" t="s">
        <v>229</v>
      </c>
      <c r="D18" s="144"/>
      <c r="E18" s="145"/>
    </row>
    <row r="19" spans="1:10">
      <c r="A19" s="9" t="s">
        <v>230</v>
      </c>
      <c r="B19" s="8" t="str">
        <f t="shared" si="0"/>
        <v>S003</v>
      </c>
      <c r="C19" s="146" t="s">
        <v>231</v>
      </c>
      <c r="D19" s="144"/>
      <c r="E19" s="145"/>
    </row>
    <row r="21" spans="1:10" ht="15.75" customHeight="1">
      <c r="A21" s="6" t="s">
        <v>27</v>
      </c>
    </row>
    <row r="22" spans="1:10" ht="15.75" customHeight="1">
      <c r="A22" s="141" t="s">
        <v>232</v>
      </c>
      <c r="B22" s="142"/>
      <c r="C22" s="142"/>
      <c r="D22" s="142"/>
      <c r="E22" s="142"/>
      <c r="F22" s="142"/>
      <c r="G22" s="142"/>
      <c r="H22" s="142"/>
      <c r="I22" s="142"/>
      <c r="J22" s="142"/>
    </row>
    <row r="23" spans="1:10" ht="15.75" customHeight="1">
      <c r="A23" s="142"/>
      <c r="B23" s="142"/>
      <c r="C23" s="142"/>
      <c r="D23" s="142"/>
      <c r="E23" s="142"/>
      <c r="F23" s="142"/>
      <c r="G23" s="142"/>
      <c r="H23" s="142"/>
      <c r="I23" s="142"/>
      <c r="J23" s="142"/>
    </row>
    <row r="24" spans="1:10" ht="15.75" customHeight="1">
      <c r="A24" s="8" t="s">
        <v>189</v>
      </c>
      <c r="B24" s="8" t="s">
        <v>190</v>
      </c>
      <c r="C24" s="8" t="s">
        <v>191</v>
      </c>
      <c r="D24" s="8" t="s">
        <v>49</v>
      </c>
      <c r="E24" s="8" t="s">
        <v>207</v>
      </c>
      <c r="F24" s="143" t="s">
        <v>16</v>
      </c>
      <c r="G24" s="144"/>
      <c r="H24" s="145"/>
    </row>
    <row r="25" spans="1:10" ht="15.75" customHeight="1">
      <c r="A25" s="9" t="s">
        <v>233</v>
      </c>
      <c r="B25" s="9" t="s">
        <v>33</v>
      </c>
      <c r="C25" s="9">
        <v>800</v>
      </c>
      <c r="D25" s="8" t="s">
        <v>208</v>
      </c>
      <c r="E25" s="9" t="s">
        <v>180</v>
      </c>
      <c r="F25" s="143" t="str">
        <f>CONCATENATE(TRIM(A25), "-", TRIM(B25), "-", TRIM(C25))</f>
        <v>E001-AVP-800</v>
      </c>
      <c r="G25" s="144"/>
      <c r="H25" s="145"/>
      <c r="I25" s="4" t="e">
        <f t="shared" ref="I25:I28" ca="1" si="1">_xludf.FORMULATEXT(F25)</f>
        <v>#NAME?</v>
      </c>
    </row>
    <row r="26" spans="1:10" ht="15.75" customHeight="1">
      <c r="A26" s="9" t="s">
        <v>234</v>
      </c>
      <c r="B26" s="9" t="s">
        <v>35</v>
      </c>
      <c r="C26" s="9">
        <v>500</v>
      </c>
      <c r="D26" s="8" t="s">
        <v>209</v>
      </c>
      <c r="E26" s="9" t="s">
        <v>180</v>
      </c>
      <c r="F26" s="143" t="str">
        <f>CONCATENATE(TRIM(A26), TRIM(B26), TRIM(C26))</f>
        <v>E002Analyst500</v>
      </c>
      <c r="G26" s="144"/>
      <c r="H26" s="145"/>
      <c r="I26" s="4" t="e">
        <f t="shared" ca="1" si="1"/>
        <v>#NAME?</v>
      </c>
    </row>
    <row r="27" spans="1:10" ht="15.75" customHeight="1">
      <c r="A27" s="9" t="s">
        <v>36</v>
      </c>
      <c r="B27" s="9" t="s">
        <v>235</v>
      </c>
      <c r="C27" s="9">
        <v>100</v>
      </c>
      <c r="D27" s="8" t="s">
        <v>210</v>
      </c>
      <c r="E27" s="9" t="s">
        <v>212</v>
      </c>
      <c r="F27" s="143" t="str">
        <f>TRIM(A27) &amp;"/" &amp;TRIM(B27) &amp; "-" &amp; TRIM(C27)</f>
        <v>E003/Ana lyst-100</v>
      </c>
      <c r="G27" s="144"/>
      <c r="H27" s="145"/>
      <c r="I27" s="4" t="e">
        <f t="shared" ca="1" si="1"/>
        <v>#NAME?</v>
      </c>
    </row>
    <row r="28" spans="1:10" ht="15.75" customHeight="1">
      <c r="A28" s="9" t="s">
        <v>37</v>
      </c>
      <c r="B28" s="9" t="s">
        <v>236</v>
      </c>
      <c r="C28" s="9">
        <v>400</v>
      </c>
      <c r="D28" s="8" t="s">
        <v>211</v>
      </c>
      <c r="E28" s="9" t="s">
        <v>212</v>
      </c>
      <c r="F28" s="143" t="str">
        <f>TRIM(A28) &amp; ":" &amp; TRIM(B28) &amp; ":" &amp; TRIM(C28)</f>
        <v>E004:Analyst:400</v>
      </c>
      <c r="G28" s="144"/>
      <c r="H28" s="145"/>
      <c r="I28" s="4" t="e">
        <f t="shared" ca="1" si="1"/>
        <v>#NAME?</v>
      </c>
    </row>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F28:H28"/>
    <mergeCell ref="A1:B1"/>
    <mergeCell ref="A4:J5"/>
    <mergeCell ref="C15:E15"/>
    <mergeCell ref="C16:E16"/>
    <mergeCell ref="C17:E17"/>
    <mergeCell ref="C18:E18"/>
    <mergeCell ref="C19:E19"/>
    <mergeCell ref="A22:J23"/>
    <mergeCell ref="F24:H24"/>
    <mergeCell ref="F25:H25"/>
    <mergeCell ref="F26:H26"/>
    <mergeCell ref="F27:H27"/>
  </mergeCells>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showGridLines="0" workbookViewId="0">
      <selection sqref="A1:C1"/>
    </sheetView>
  </sheetViews>
  <sheetFormatPr defaultColWidth="14.42578125" defaultRowHeight="15" customHeight="1"/>
  <cols>
    <col min="1" max="1" width="10" customWidth="1"/>
    <col min="2" max="2" width="11.5703125" customWidth="1"/>
    <col min="3" max="3" width="10.140625" customWidth="1"/>
    <col min="4" max="4" width="15.5703125" customWidth="1"/>
    <col min="5" max="5" width="14.5703125" customWidth="1"/>
    <col min="6" max="6" width="8.710937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237</v>
      </c>
      <c r="B1" s="149"/>
      <c r="C1" s="149"/>
      <c r="D1" s="2"/>
      <c r="E1" s="2"/>
      <c r="F1" s="2"/>
      <c r="G1" s="2"/>
      <c r="H1" s="2"/>
      <c r="I1" s="2"/>
      <c r="J1" s="2"/>
      <c r="K1" s="2"/>
      <c r="L1" s="2"/>
    </row>
    <row r="3" spans="1:12" ht="18.75">
      <c r="A3" s="3" t="s">
        <v>1</v>
      </c>
    </row>
    <row r="4" spans="1:12">
      <c r="A4" s="162" t="s">
        <v>238</v>
      </c>
      <c r="B4" s="142"/>
      <c r="C4" s="142"/>
      <c r="D4" s="142"/>
      <c r="E4" s="142"/>
      <c r="F4" s="142"/>
      <c r="G4" s="142"/>
      <c r="H4" s="142"/>
      <c r="I4" s="142"/>
      <c r="J4" s="142"/>
    </row>
    <row r="5" spans="1:12" ht="15" customHeight="1">
      <c r="A5" s="142"/>
      <c r="B5" s="142"/>
      <c r="C5" s="142"/>
      <c r="D5" s="142"/>
      <c r="E5" s="142"/>
      <c r="F5" s="142"/>
      <c r="G5" s="142"/>
      <c r="H5" s="142"/>
      <c r="I5" s="142"/>
      <c r="J5" s="142"/>
    </row>
    <row r="6" spans="1:12">
      <c r="A6" s="32"/>
      <c r="B6" s="32"/>
      <c r="C6" s="32"/>
      <c r="D6" s="32"/>
      <c r="E6" s="32"/>
      <c r="F6" s="32"/>
      <c r="G6" s="32"/>
      <c r="H6" s="32"/>
      <c r="I6" s="32"/>
      <c r="J6" s="32"/>
    </row>
    <row r="7" spans="1:12" ht="18.75">
      <c r="A7" s="3" t="s">
        <v>3</v>
      </c>
    </row>
    <row r="8" spans="1:12" ht="15.75">
      <c r="A8" s="5" t="s">
        <v>239</v>
      </c>
    </row>
    <row r="10" spans="1:12" ht="15.75">
      <c r="A10" s="6" t="s">
        <v>222</v>
      </c>
    </row>
    <row r="11" spans="1:12">
      <c r="A11" s="4" t="s">
        <v>240</v>
      </c>
    </row>
    <row r="13" spans="1:12" ht="15.75">
      <c r="A13" s="6" t="s">
        <v>241</v>
      </c>
    </row>
    <row r="14" spans="1:12">
      <c r="A14" s="4" t="s">
        <v>242</v>
      </c>
    </row>
    <row r="16" spans="1:12" ht="15.75">
      <c r="A16" s="6" t="s">
        <v>243</v>
      </c>
    </row>
    <row r="17" spans="1:10">
      <c r="A17" s="4" t="s">
        <v>244</v>
      </c>
    </row>
    <row r="19" spans="1:10" ht="15.75">
      <c r="A19" s="6" t="s">
        <v>245</v>
      </c>
    </row>
    <row r="20" spans="1:10">
      <c r="A20" s="141" t="s">
        <v>246</v>
      </c>
      <c r="B20" s="142"/>
      <c r="C20" s="142"/>
      <c r="D20" s="142"/>
      <c r="E20" s="142"/>
      <c r="F20" s="142"/>
      <c r="G20" s="142"/>
      <c r="H20" s="142"/>
      <c r="I20" s="142"/>
      <c r="J20" s="142"/>
    </row>
    <row r="21" spans="1:10" ht="15.75" customHeight="1">
      <c r="A21" s="142"/>
      <c r="B21" s="142"/>
      <c r="C21" s="142"/>
      <c r="D21" s="142"/>
      <c r="E21" s="142"/>
      <c r="F21" s="142"/>
      <c r="G21" s="142"/>
      <c r="H21" s="142"/>
      <c r="I21" s="142"/>
      <c r="J21" s="142"/>
    </row>
    <row r="22" spans="1:10" ht="15.75" customHeight="1">
      <c r="A22" s="7"/>
      <c r="B22" s="7"/>
      <c r="C22" s="7"/>
      <c r="D22" s="7"/>
      <c r="E22" s="7"/>
      <c r="F22" s="7"/>
      <c r="G22" s="7"/>
      <c r="H22" s="7"/>
      <c r="I22" s="7"/>
      <c r="J22" s="7"/>
    </row>
    <row r="23" spans="1:10" ht="15.75" customHeight="1">
      <c r="A23" s="6" t="s">
        <v>11</v>
      </c>
    </row>
    <row r="24" spans="1:10" ht="15.75" customHeight="1">
      <c r="A24" s="4" t="s">
        <v>188</v>
      </c>
    </row>
    <row r="25" spans="1:10" ht="15.75" customHeight="1">
      <c r="A25" s="143" t="s">
        <v>247</v>
      </c>
      <c r="B25" s="144"/>
      <c r="C25" s="145"/>
      <c r="D25" s="8" t="s">
        <v>248</v>
      </c>
      <c r="E25" s="143" t="s">
        <v>49</v>
      </c>
      <c r="F25" s="145"/>
      <c r="G25" s="143" t="s">
        <v>16</v>
      </c>
      <c r="H25" s="144"/>
      <c r="I25" s="145"/>
    </row>
    <row r="26" spans="1:10" ht="15.75" customHeight="1">
      <c r="A26" s="163" t="s">
        <v>249</v>
      </c>
      <c r="B26" s="144"/>
      <c r="C26" s="145"/>
      <c r="D26" s="9"/>
      <c r="E26" s="163" t="str">
        <f>SUBSTITUTE(A26,"t","b")</f>
        <v>Hub</v>
      </c>
      <c r="F26" s="145"/>
      <c r="G26" s="146" t="s">
        <v>250</v>
      </c>
      <c r="H26" s="144"/>
      <c r="I26" s="145"/>
    </row>
    <row r="27" spans="1:10" ht="15.75" customHeight="1">
      <c r="A27" s="163" t="s">
        <v>251</v>
      </c>
      <c r="B27" s="144"/>
      <c r="C27" s="145"/>
      <c r="D27" s="9">
        <v>1</v>
      </c>
      <c r="E27" s="163" t="str">
        <f>SUBSTITUTE(A27,"b","T",1)</f>
        <v>Tumble</v>
      </c>
      <c r="F27" s="145"/>
      <c r="G27" s="146" t="s">
        <v>252</v>
      </c>
      <c r="H27" s="144"/>
      <c r="I27" s="145"/>
    </row>
    <row r="28" spans="1:10" ht="15.75" customHeight="1">
      <c r="A28" s="163" t="s">
        <v>253</v>
      </c>
      <c r="B28" s="144"/>
      <c r="C28" s="145"/>
      <c r="D28" s="9"/>
      <c r="E28" s="163" t="str">
        <f>SUBSTITUTE(A28,"the"," ")</f>
        <v xml:space="preserve">  car is in   driveway</v>
      </c>
      <c r="F28" s="145"/>
      <c r="G28" s="146" t="s">
        <v>254</v>
      </c>
      <c r="H28" s="144"/>
      <c r="I28" s="145"/>
    </row>
    <row r="29" spans="1:10" ht="15.75" customHeight="1">
      <c r="A29" s="163" t="s">
        <v>253</v>
      </c>
      <c r="B29" s="144"/>
      <c r="C29" s="145"/>
      <c r="D29" s="9">
        <v>2</v>
      </c>
      <c r="E29" s="163" t="str">
        <f>SUBSTITUTE(A29,"the","a",2)</f>
        <v>the car is in a driveway</v>
      </c>
      <c r="F29" s="145"/>
      <c r="G29" s="146" t="s">
        <v>255</v>
      </c>
      <c r="H29" s="144"/>
      <c r="I29" s="145"/>
    </row>
    <row r="30" spans="1:10" ht="15.75" customHeight="1">
      <c r="A30" s="163" t="s">
        <v>256</v>
      </c>
      <c r="B30" s="144"/>
      <c r="C30" s="145"/>
      <c r="D30" s="9"/>
      <c r="E30" s="163" t="str">
        <f>SUBSTITUTE(A30,"The"," ")</f>
        <v xml:space="preserve">  car is in the driveway</v>
      </c>
      <c r="F30" s="145"/>
      <c r="G30" s="146" t="s">
        <v>257</v>
      </c>
      <c r="H30" s="144"/>
      <c r="I30" s="145"/>
    </row>
    <row r="31" spans="1:10" ht="15.75" customHeight="1"/>
    <row r="32" spans="1:10" ht="15.75" customHeight="1">
      <c r="A32" s="6" t="s">
        <v>25</v>
      </c>
    </row>
    <row r="33" spans="1:10" ht="15.75" customHeight="1">
      <c r="A33" s="141" t="s">
        <v>258</v>
      </c>
      <c r="B33" s="142"/>
      <c r="C33" s="142"/>
      <c r="D33" s="142"/>
      <c r="E33" s="142"/>
      <c r="F33" s="142"/>
      <c r="G33" s="142"/>
      <c r="H33" s="142"/>
      <c r="I33" s="142"/>
      <c r="J33" s="142"/>
    </row>
    <row r="34" spans="1:10" ht="15.75" customHeight="1">
      <c r="A34" s="142"/>
      <c r="B34" s="142"/>
      <c r="C34" s="142"/>
      <c r="D34" s="142"/>
      <c r="E34" s="142"/>
      <c r="F34" s="142"/>
      <c r="G34" s="142"/>
      <c r="H34" s="142"/>
      <c r="I34" s="142"/>
      <c r="J34" s="142"/>
    </row>
    <row r="35" spans="1:10" ht="15.75" customHeight="1"/>
    <row r="36" spans="1:10" ht="15.75" customHeight="1">
      <c r="A36" s="6" t="s">
        <v>27</v>
      </c>
    </row>
    <row r="37" spans="1:10" ht="15.75" customHeight="1">
      <c r="A37" s="141" t="s">
        <v>259</v>
      </c>
      <c r="B37" s="142"/>
      <c r="C37" s="142"/>
      <c r="D37" s="142"/>
      <c r="E37" s="142"/>
      <c r="F37" s="142"/>
      <c r="G37" s="142"/>
      <c r="H37" s="142"/>
      <c r="I37" s="142"/>
      <c r="J37" s="142"/>
    </row>
    <row r="38" spans="1:10" ht="15.75" customHeight="1">
      <c r="A38" s="143" t="s">
        <v>247</v>
      </c>
      <c r="B38" s="145"/>
      <c r="C38" s="143" t="s">
        <v>49</v>
      </c>
      <c r="D38" s="145"/>
      <c r="E38" s="164" t="s">
        <v>16</v>
      </c>
      <c r="F38" s="145"/>
    </row>
    <row r="39" spans="1:10" ht="15.75" customHeight="1">
      <c r="A39" s="146" t="s">
        <v>260</v>
      </c>
      <c r="B39" s="145"/>
      <c r="C39" s="146" t="s">
        <v>261</v>
      </c>
      <c r="D39" s="145"/>
      <c r="E39" s="164" t="str">
        <f>SUBSTITUTE(A39, "The ", " ")</f>
        <v xml:space="preserve"> dog is in the lawn</v>
      </c>
      <c r="F39" s="145"/>
      <c r="G39" s="4" t="e">
        <f t="shared" ref="G39:G42" ca="1" si="0">_xludf.FORMULATEXT(E39)</f>
        <v>#NAME?</v>
      </c>
    </row>
    <row r="40" spans="1:10" ht="15.75" customHeight="1">
      <c r="A40" s="146" t="s">
        <v>262</v>
      </c>
      <c r="B40" s="145"/>
      <c r="C40" s="146" t="s">
        <v>263</v>
      </c>
      <c r="D40" s="145"/>
      <c r="E40" s="164" t="str">
        <f>SUBSTITUTE(SUBSTITUTE(A40, "the ", "Dog ", 1), " dog", "", 1)</f>
        <v>Dog is in the lawn</v>
      </c>
      <c r="F40" s="145"/>
      <c r="G40" s="4" t="e">
        <f t="shared" ca="1" si="0"/>
        <v>#NAME?</v>
      </c>
    </row>
    <row r="41" spans="1:10" ht="15.75" customHeight="1">
      <c r="A41" s="146" t="s">
        <v>264</v>
      </c>
      <c r="B41" s="145"/>
      <c r="C41" s="146" t="s">
        <v>265</v>
      </c>
      <c r="D41" s="145"/>
      <c r="E41" s="164" t="str">
        <f>SUBSTITUTE(A41, "D", "F")</f>
        <v>Fog</v>
      </c>
      <c r="F41" s="145"/>
      <c r="G41" s="4" t="e">
        <f t="shared" ca="1" si="0"/>
        <v>#NAME?</v>
      </c>
    </row>
    <row r="42" spans="1:10" ht="15.75" customHeight="1">
      <c r="A42" s="146" t="s">
        <v>266</v>
      </c>
      <c r="B42" s="145"/>
      <c r="C42" s="146" t="s">
        <v>267</v>
      </c>
      <c r="D42" s="145"/>
      <c r="E42" s="164" t="str">
        <f>SUBSTITUTE(A42, "Curious", "Furious")</f>
        <v>Furious Cat</v>
      </c>
      <c r="F42" s="145"/>
      <c r="G42" s="4" t="e">
        <f t="shared" ca="1" si="0"/>
        <v>#NAME?</v>
      </c>
    </row>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42:B42"/>
    <mergeCell ref="C42:D42"/>
    <mergeCell ref="E42:F42"/>
    <mergeCell ref="A38:B38"/>
    <mergeCell ref="A39:B39"/>
    <mergeCell ref="C39:D39"/>
    <mergeCell ref="E39:F39"/>
    <mergeCell ref="A40:B40"/>
    <mergeCell ref="C40:D40"/>
    <mergeCell ref="E40:F40"/>
    <mergeCell ref="C38:D38"/>
    <mergeCell ref="E38:F38"/>
    <mergeCell ref="A41:B41"/>
    <mergeCell ref="C41:D41"/>
    <mergeCell ref="E41:F41"/>
    <mergeCell ref="A30:C30"/>
    <mergeCell ref="E30:F30"/>
    <mergeCell ref="G30:I30"/>
    <mergeCell ref="A33:J34"/>
    <mergeCell ref="A37:J37"/>
    <mergeCell ref="E29:F29"/>
    <mergeCell ref="G29:I29"/>
    <mergeCell ref="A27:C27"/>
    <mergeCell ref="E27:F27"/>
    <mergeCell ref="G27:I27"/>
    <mergeCell ref="A28:C28"/>
    <mergeCell ref="E28:F28"/>
    <mergeCell ref="G28:I28"/>
    <mergeCell ref="A29:C29"/>
    <mergeCell ref="E26:F26"/>
    <mergeCell ref="G26:I26"/>
    <mergeCell ref="A1:C1"/>
    <mergeCell ref="A4:J5"/>
    <mergeCell ref="A20:J21"/>
    <mergeCell ref="A25:C25"/>
    <mergeCell ref="E25:F25"/>
    <mergeCell ref="G25:I25"/>
    <mergeCell ref="A26:C26"/>
  </mergeCells>
  <pageMargins left="0.7" right="0.7" top="0.75" bottom="0.75" header="0" footer="0"/>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showGridLines="0" workbookViewId="0">
      <selection sqref="A1:B1"/>
    </sheetView>
  </sheetViews>
  <sheetFormatPr defaultColWidth="14.42578125" defaultRowHeight="15" customHeight="1"/>
  <cols>
    <col min="1" max="1" width="10.42578125" customWidth="1"/>
    <col min="2" max="2" width="11.5703125" customWidth="1"/>
    <col min="3" max="3" width="10.140625" customWidth="1"/>
    <col min="4" max="4" width="15.5703125" customWidth="1"/>
    <col min="5" max="5" width="9.7109375" customWidth="1"/>
    <col min="6" max="6" width="8.710937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268</v>
      </c>
      <c r="B1" s="149"/>
      <c r="C1" s="31"/>
      <c r="D1" s="2"/>
      <c r="E1" s="2"/>
      <c r="F1" s="2"/>
      <c r="G1" s="2"/>
      <c r="H1" s="2"/>
      <c r="I1" s="2"/>
      <c r="J1" s="2"/>
      <c r="K1" s="2"/>
      <c r="L1" s="2"/>
    </row>
    <row r="3" spans="1:12" ht="18.75">
      <c r="A3" s="3" t="s">
        <v>1</v>
      </c>
    </row>
    <row r="4" spans="1:12">
      <c r="A4" s="162" t="s">
        <v>269</v>
      </c>
      <c r="B4" s="142"/>
      <c r="C4" s="142"/>
      <c r="D4" s="142"/>
      <c r="E4" s="142"/>
      <c r="F4" s="142"/>
      <c r="G4" s="142"/>
      <c r="H4" s="142"/>
      <c r="I4" s="142"/>
      <c r="J4" s="142"/>
    </row>
    <row r="5" spans="1:12">
      <c r="A5" s="32"/>
      <c r="B5" s="32"/>
      <c r="C5" s="32"/>
      <c r="D5" s="32"/>
      <c r="E5" s="32"/>
      <c r="F5" s="32"/>
      <c r="G5" s="32"/>
      <c r="H5" s="32"/>
      <c r="I5" s="32"/>
      <c r="J5" s="32"/>
    </row>
    <row r="6" spans="1:12" ht="18.75">
      <c r="A6" s="3" t="s">
        <v>3</v>
      </c>
    </row>
    <row r="7" spans="1:12" ht="15.75">
      <c r="A7" s="5" t="s">
        <v>270</v>
      </c>
    </row>
    <row r="9" spans="1:12" ht="15.75">
      <c r="A9" s="6" t="s">
        <v>222</v>
      </c>
    </row>
    <row r="10" spans="1:12">
      <c r="A10" s="4" t="s">
        <v>271</v>
      </c>
    </row>
    <row r="12" spans="1:12" ht="15.75">
      <c r="A12" s="6" t="s">
        <v>11</v>
      </c>
    </row>
    <row r="13" spans="1:12">
      <c r="A13" s="4" t="s">
        <v>272</v>
      </c>
    </row>
    <row r="14" spans="1:12">
      <c r="A14" s="8" t="s">
        <v>222</v>
      </c>
      <c r="B14" s="8" t="s">
        <v>49</v>
      </c>
      <c r="C14" s="143" t="s">
        <v>16</v>
      </c>
      <c r="D14" s="145"/>
    </row>
    <row r="15" spans="1:12">
      <c r="A15" s="18">
        <v>12345</v>
      </c>
      <c r="B15" s="8">
        <f t="shared" ref="B15:B17" si="0">VALUE(A15)</f>
        <v>12345</v>
      </c>
      <c r="C15" s="146" t="s">
        <v>273</v>
      </c>
      <c r="D15" s="145"/>
    </row>
    <row r="16" spans="1:12">
      <c r="A16" s="24">
        <v>42821</v>
      </c>
      <c r="B16" s="8">
        <f t="shared" si="0"/>
        <v>42821</v>
      </c>
      <c r="C16" s="146" t="s">
        <v>274</v>
      </c>
      <c r="D16" s="145"/>
      <c r="F16" s="150" t="s">
        <v>275</v>
      </c>
      <c r="G16" s="151"/>
      <c r="H16" s="151"/>
      <c r="I16" s="152"/>
    </row>
    <row r="17" spans="1:10">
      <c r="A17" s="24">
        <v>41982</v>
      </c>
      <c r="B17" s="8">
        <f t="shared" si="0"/>
        <v>41982</v>
      </c>
      <c r="C17" s="146" t="s">
        <v>276</v>
      </c>
      <c r="D17" s="145"/>
      <c r="F17" s="155"/>
      <c r="G17" s="156"/>
      <c r="H17" s="156"/>
      <c r="I17" s="157"/>
    </row>
    <row r="19" spans="1:10" ht="15.75">
      <c r="A19" s="6" t="s">
        <v>27</v>
      </c>
    </row>
    <row r="20" spans="1:10">
      <c r="A20" s="141" t="s">
        <v>277</v>
      </c>
      <c r="B20" s="142"/>
      <c r="C20" s="142"/>
      <c r="D20" s="142"/>
      <c r="E20" s="142"/>
      <c r="F20" s="142"/>
      <c r="G20" s="142"/>
      <c r="H20" s="142"/>
      <c r="I20" s="142"/>
      <c r="J20" s="142"/>
    </row>
    <row r="21" spans="1:10" ht="15.75" customHeight="1">
      <c r="A21" s="8" t="s">
        <v>222</v>
      </c>
      <c r="B21" s="8" t="s">
        <v>49</v>
      </c>
      <c r="C21" s="143" t="s">
        <v>16</v>
      </c>
      <c r="D21" s="144"/>
      <c r="E21" s="145"/>
    </row>
    <row r="22" spans="1:10" ht="15.75" customHeight="1">
      <c r="A22" s="33">
        <v>123.17</v>
      </c>
      <c r="B22" s="8">
        <v>123</v>
      </c>
      <c r="C22" s="143">
        <f t="shared" ref="C22:C24" si="1">VALUE(A22)</f>
        <v>123.17</v>
      </c>
      <c r="D22" s="144"/>
      <c r="E22" s="145"/>
      <c r="F22" s="4" t="e">
        <f t="shared" ref="F22:F24" ca="1" si="2">_xludf.FORMULATEXT(C22)</f>
        <v>#NAME?</v>
      </c>
    </row>
    <row r="23" spans="1:10" ht="15.75" customHeight="1">
      <c r="A23" s="24">
        <v>43070</v>
      </c>
      <c r="B23" s="8">
        <v>43070</v>
      </c>
      <c r="C23" s="143">
        <f t="shared" si="1"/>
        <v>43070</v>
      </c>
      <c r="D23" s="144"/>
      <c r="E23" s="145"/>
      <c r="F23" s="4" t="e">
        <f t="shared" ca="1" si="2"/>
        <v>#NAME?</v>
      </c>
    </row>
    <row r="24" spans="1:10" ht="15.75" customHeight="1">
      <c r="A24" s="24">
        <v>42747</v>
      </c>
      <c r="B24" s="8">
        <v>42747</v>
      </c>
      <c r="C24" s="143">
        <f t="shared" si="1"/>
        <v>42747</v>
      </c>
      <c r="D24" s="144"/>
      <c r="E24" s="145"/>
      <c r="F24" s="4" t="e">
        <f t="shared" ca="1" si="2"/>
        <v>#NAME?</v>
      </c>
    </row>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B1"/>
    <mergeCell ref="A4:J4"/>
    <mergeCell ref="C14:D14"/>
    <mergeCell ref="C15:D15"/>
    <mergeCell ref="C16:D16"/>
    <mergeCell ref="F16:I17"/>
    <mergeCell ref="C17:D17"/>
    <mergeCell ref="A20:J20"/>
    <mergeCell ref="C21:E21"/>
    <mergeCell ref="C22:E22"/>
    <mergeCell ref="C23:E23"/>
    <mergeCell ref="C24:E24"/>
  </mergeCells>
  <pageMargins left="0.7" right="0.7" top="0.75" bottom="0.75" header="0" footer="0"/>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showGridLines="0" workbookViewId="0">
      <selection sqref="A1:B1"/>
    </sheetView>
  </sheetViews>
  <sheetFormatPr defaultColWidth="14.42578125" defaultRowHeight="15" customHeight="1"/>
  <cols>
    <col min="1" max="1" width="10.42578125" customWidth="1"/>
    <col min="2" max="2" width="11.5703125" customWidth="1"/>
    <col min="3" max="3" width="10.140625" customWidth="1"/>
    <col min="4" max="4" width="15.5703125" customWidth="1"/>
    <col min="5" max="5" width="9.7109375" customWidth="1"/>
    <col min="6" max="6" width="8.710937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278</v>
      </c>
      <c r="B1" s="149"/>
      <c r="C1" s="31"/>
      <c r="D1" s="2"/>
      <c r="E1" s="2"/>
      <c r="F1" s="2"/>
      <c r="G1" s="2"/>
      <c r="H1" s="2"/>
      <c r="I1" s="2"/>
      <c r="J1" s="2"/>
      <c r="K1" s="2"/>
      <c r="L1" s="2"/>
    </row>
    <row r="3" spans="1:12" ht="18.75">
      <c r="A3" s="3" t="s">
        <v>1</v>
      </c>
    </row>
    <row r="4" spans="1:12">
      <c r="A4" s="162" t="s">
        <v>279</v>
      </c>
      <c r="B4" s="142"/>
      <c r="C4" s="142"/>
      <c r="D4" s="142"/>
      <c r="E4" s="142"/>
      <c r="F4" s="142"/>
      <c r="G4" s="142"/>
      <c r="H4" s="142"/>
      <c r="I4" s="142"/>
      <c r="J4" s="142"/>
    </row>
    <row r="5" spans="1:12">
      <c r="A5" s="32"/>
      <c r="B5" s="32"/>
      <c r="C5" s="32"/>
      <c r="D5" s="32"/>
      <c r="E5" s="32"/>
      <c r="F5" s="32"/>
      <c r="G5" s="32"/>
      <c r="H5" s="32"/>
      <c r="I5" s="32"/>
      <c r="J5" s="32"/>
    </row>
    <row r="6" spans="1:12" ht="18.75">
      <c r="A6" s="3" t="s">
        <v>3</v>
      </c>
    </row>
    <row r="7" spans="1:12" ht="15.75">
      <c r="A7" s="5" t="s">
        <v>280</v>
      </c>
    </row>
    <row r="9" spans="1:12" ht="15.75">
      <c r="A9" s="6" t="s">
        <v>222</v>
      </c>
    </row>
    <row r="10" spans="1:12">
      <c r="A10" s="4" t="s">
        <v>281</v>
      </c>
    </row>
    <row r="12" spans="1:12" ht="15.75">
      <c r="A12" s="6" t="s">
        <v>11</v>
      </c>
    </row>
    <row r="13" spans="1:12">
      <c r="A13" s="34" t="s">
        <v>282</v>
      </c>
    </row>
    <row r="14" spans="1:12">
      <c r="A14" s="143" t="s">
        <v>222</v>
      </c>
      <c r="B14" s="145"/>
      <c r="C14" s="143" t="s">
        <v>49</v>
      </c>
      <c r="D14" s="145"/>
      <c r="E14" s="143" t="s">
        <v>16</v>
      </c>
      <c r="F14" s="145"/>
    </row>
    <row r="15" spans="1:12">
      <c r="A15" s="146" t="s">
        <v>283</v>
      </c>
      <c r="B15" s="145"/>
      <c r="C15" s="146" t="str">
        <f t="shared" ref="C15:C17" si="0">UPPER(A15)</f>
        <v>LAPTOP</v>
      </c>
      <c r="D15" s="145"/>
      <c r="E15" s="146" t="s">
        <v>284</v>
      </c>
      <c r="F15" s="145"/>
    </row>
    <row r="16" spans="1:12" ht="15" customHeight="1">
      <c r="A16" s="146" t="s">
        <v>285</v>
      </c>
      <c r="B16" s="145"/>
      <c r="C16" s="146" t="str">
        <f t="shared" si="0"/>
        <v>EXCEL</v>
      </c>
      <c r="D16" s="145"/>
      <c r="E16" s="146" t="s">
        <v>286</v>
      </c>
      <c r="F16" s="145"/>
    </row>
    <row r="17" spans="1:10">
      <c r="A17" s="146" t="s">
        <v>287</v>
      </c>
      <c r="B17" s="145"/>
      <c r="C17" s="146" t="str">
        <f t="shared" si="0"/>
        <v>SUPERSTORE IS CLOSED NOW</v>
      </c>
      <c r="D17" s="145"/>
      <c r="E17" s="146" t="s">
        <v>288</v>
      </c>
      <c r="F17" s="145"/>
    </row>
    <row r="19" spans="1:10" ht="15.75">
      <c r="A19" s="6" t="s">
        <v>289</v>
      </c>
    </row>
    <row r="20" spans="1:10" ht="15" customHeight="1">
      <c r="A20" s="34" t="s">
        <v>282</v>
      </c>
      <c r="B20" s="7"/>
      <c r="C20" s="7"/>
      <c r="D20" s="7"/>
      <c r="E20" s="7"/>
      <c r="F20" s="7"/>
      <c r="G20" s="7"/>
      <c r="H20" s="7"/>
      <c r="I20" s="7"/>
      <c r="J20" s="7"/>
    </row>
    <row r="21" spans="1:10" ht="15.75" customHeight="1">
      <c r="A21" s="143" t="s">
        <v>222</v>
      </c>
      <c r="B21" s="145"/>
      <c r="C21" s="143" t="s">
        <v>16</v>
      </c>
      <c r="D21" s="144"/>
      <c r="E21" s="145"/>
    </row>
    <row r="22" spans="1:10" ht="15.75" customHeight="1">
      <c r="A22" s="146" t="s">
        <v>290</v>
      </c>
      <c r="B22" s="145"/>
      <c r="C22" s="143" t="str">
        <f t="shared" ref="C22:C23" si="1">UPPER(A22)</f>
        <v>GOOD</v>
      </c>
      <c r="D22" s="144"/>
      <c r="E22" s="145"/>
      <c r="F22" s="4" t="e">
        <f t="shared" ref="F22:F23" ca="1" si="2">_xludf.FORMULATEXT(C22)</f>
        <v>#NAME?</v>
      </c>
    </row>
    <row r="23" spans="1:10" ht="15.75" customHeight="1">
      <c r="A23" s="146" t="s">
        <v>291</v>
      </c>
      <c r="B23" s="145"/>
      <c r="C23" s="143" t="str">
        <f t="shared" si="1"/>
        <v>HOW ARE YOU?</v>
      </c>
      <c r="D23" s="144"/>
      <c r="E23" s="145"/>
      <c r="F23" s="4" t="e">
        <f t="shared" ca="1" si="2"/>
        <v>#NAME?</v>
      </c>
    </row>
    <row r="24" spans="1:10" ht="15.75" customHeight="1"/>
    <row r="25" spans="1:10" ht="15.75" customHeight="1">
      <c r="A25" s="6" t="s">
        <v>292</v>
      </c>
    </row>
    <row r="26" spans="1:10" ht="15.75" customHeight="1">
      <c r="A26" s="4" t="s">
        <v>293</v>
      </c>
    </row>
    <row r="27" spans="1:10" ht="15.75" customHeight="1">
      <c r="A27" s="8" t="s">
        <v>113</v>
      </c>
      <c r="B27" s="8" t="s">
        <v>114</v>
      </c>
      <c r="C27" s="143" t="s">
        <v>49</v>
      </c>
      <c r="D27" s="145"/>
    </row>
    <row r="28" spans="1:10" ht="15.75" customHeight="1">
      <c r="A28" s="9" t="s">
        <v>294</v>
      </c>
      <c r="B28" s="9" t="s">
        <v>295</v>
      </c>
      <c r="C28" s="146" t="b">
        <f t="shared" ref="C28:C30" si="3">EXACT(UPPER(A28), B28)</f>
        <v>1</v>
      </c>
      <c r="D28" s="145"/>
    </row>
    <row r="29" spans="1:10" ht="15.75" customHeight="1">
      <c r="A29" s="9" t="s">
        <v>294</v>
      </c>
      <c r="B29" s="9" t="s">
        <v>296</v>
      </c>
      <c r="C29" s="146" t="b">
        <f t="shared" si="3"/>
        <v>0</v>
      </c>
      <c r="D29" s="145"/>
    </row>
    <row r="30" spans="1:10" ht="15.75" customHeight="1">
      <c r="A30" s="9" t="s">
        <v>297</v>
      </c>
      <c r="B30" s="9" t="s">
        <v>298</v>
      </c>
      <c r="C30" s="146" t="b">
        <f t="shared" si="3"/>
        <v>0</v>
      </c>
      <c r="D30" s="145"/>
    </row>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C30:D30"/>
    <mergeCell ref="A21:B21"/>
    <mergeCell ref="C21:E21"/>
    <mergeCell ref="A22:B22"/>
    <mergeCell ref="C22:E22"/>
    <mergeCell ref="A23:B23"/>
    <mergeCell ref="C23:E23"/>
    <mergeCell ref="C27:D27"/>
    <mergeCell ref="A17:B17"/>
    <mergeCell ref="C17:D17"/>
    <mergeCell ref="E17:F17"/>
    <mergeCell ref="C28:D28"/>
    <mergeCell ref="C29:D29"/>
    <mergeCell ref="C15:D15"/>
    <mergeCell ref="E15:F15"/>
    <mergeCell ref="A15:B15"/>
    <mergeCell ref="A16:B16"/>
    <mergeCell ref="C16:D16"/>
    <mergeCell ref="E16:F16"/>
    <mergeCell ref="A1:B1"/>
    <mergeCell ref="A4:J4"/>
    <mergeCell ref="A14:B14"/>
    <mergeCell ref="C14:D14"/>
    <mergeCell ref="E14:F14"/>
  </mergeCells>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00"/>
  <sheetViews>
    <sheetView showGridLines="0" workbookViewId="0">
      <selection sqref="A1:B1"/>
    </sheetView>
  </sheetViews>
  <sheetFormatPr defaultColWidth="14.42578125" defaultRowHeight="15" customHeight="1"/>
  <cols>
    <col min="1" max="2" width="12.7109375" customWidth="1"/>
    <col min="3" max="3" width="10.140625" customWidth="1"/>
    <col min="4" max="4" width="15.5703125" customWidth="1"/>
    <col min="5" max="5" width="9.7109375" customWidth="1"/>
    <col min="6" max="6" width="8.710937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299</v>
      </c>
      <c r="B1" s="149"/>
      <c r="C1" s="31"/>
      <c r="D1" s="2"/>
      <c r="E1" s="2"/>
      <c r="F1" s="2"/>
      <c r="G1" s="2"/>
      <c r="H1" s="2"/>
      <c r="I1" s="2"/>
      <c r="J1" s="2"/>
      <c r="K1" s="2"/>
      <c r="L1" s="2"/>
    </row>
    <row r="3" spans="1:12" ht="18.75">
      <c r="A3" s="3" t="s">
        <v>1</v>
      </c>
    </row>
    <row r="4" spans="1:12">
      <c r="A4" s="162" t="s">
        <v>300</v>
      </c>
      <c r="B4" s="142"/>
      <c r="C4" s="142"/>
      <c r="D4" s="142"/>
      <c r="E4" s="142"/>
      <c r="F4" s="142"/>
      <c r="G4" s="142"/>
      <c r="H4" s="142"/>
      <c r="I4" s="142"/>
      <c r="J4" s="142"/>
    </row>
    <row r="5" spans="1:12">
      <c r="A5" s="32"/>
      <c r="B5" s="32"/>
      <c r="C5" s="32"/>
      <c r="D5" s="32"/>
      <c r="E5" s="32"/>
      <c r="F5" s="32"/>
      <c r="G5" s="32"/>
      <c r="H5" s="32"/>
      <c r="I5" s="32"/>
      <c r="J5" s="32"/>
    </row>
    <row r="6" spans="1:12" ht="18.75">
      <c r="A6" s="3" t="s">
        <v>3</v>
      </c>
    </row>
    <row r="7" spans="1:12" ht="15.75">
      <c r="A7" s="5" t="s">
        <v>301</v>
      </c>
    </row>
    <row r="9" spans="1:12" ht="15.75">
      <c r="A9" s="6" t="s">
        <v>222</v>
      </c>
    </row>
    <row r="10" spans="1:12">
      <c r="A10" s="4" t="s">
        <v>302</v>
      </c>
    </row>
    <row r="12" spans="1:12" ht="15.75">
      <c r="A12" s="6" t="s">
        <v>11</v>
      </c>
    </row>
    <row r="13" spans="1:12">
      <c r="A13" s="34" t="s">
        <v>303</v>
      </c>
    </row>
    <row r="14" spans="1:12">
      <c r="A14" s="143" t="s">
        <v>222</v>
      </c>
      <c r="B14" s="145"/>
      <c r="C14" s="143" t="s">
        <v>49</v>
      </c>
      <c r="D14" s="145"/>
      <c r="E14" s="143" t="s">
        <v>16</v>
      </c>
      <c r="F14" s="145"/>
    </row>
    <row r="15" spans="1:12">
      <c r="A15" s="146" t="s">
        <v>283</v>
      </c>
      <c r="B15" s="145"/>
      <c r="C15" s="146" t="str">
        <f t="shared" ref="C15:C17" si="0">LOWER(A15)</f>
        <v>laptop</v>
      </c>
      <c r="D15" s="145"/>
      <c r="E15" s="146" t="s">
        <v>304</v>
      </c>
      <c r="F15" s="145"/>
    </row>
    <row r="16" spans="1:12" ht="15" customHeight="1">
      <c r="A16" s="146" t="s">
        <v>151</v>
      </c>
      <c r="B16" s="145"/>
      <c r="C16" s="146" t="str">
        <f t="shared" si="0"/>
        <v>excel</v>
      </c>
      <c r="D16" s="145"/>
      <c r="E16" s="146" t="s">
        <v>305</v>
      </c>
      <c r="F16" s="145"/>
    </row>
    <row r="17" spans="1:10">
      <c r="A17" s="146" t="s">
        <v>306</v>
      </c>
      <c r="B17" s="145"/>
      <c r="C17" s="146" t="str">
        <f t="shared" si="0"/>
        <v>superstore is closed now</v>
      </c>
      <c r="D17" s="145"/>
      <c r="E17" s="146" t="s">
        <v>307</v>
      </c>
      <c r="F17" s="145"/>
    </row>
    <row r="19" spans="1:10" ht="15.75">
      <c r="A19" s="6" t="s">
        <v>289</v>
      </c>
    </row>
    <row r="20" spans="1:10" ht="15" customHeight="1">
      <c r="A20" s="34" t="s">
        <v>303</v>
      </c>
      <c r="B20" s="7"/>
      <c r="C20" s="7"/>
      <c r="D20" s="7"/>
      <c r="E20" s="7"/>
      <c r="F20" s="7"/>
      <c r="G20" s="7"/>
      <c r="H20" s="7"/>
      <c r="I20" s="7"/>
      <c r="J20" s="7"/>
    </row>
    <row r="21" spans="1:10" ht="15.75" customHeight="1">
      <c r="A21" s="143" t="s">
        <v>222</v>
      </c>
      <c r="B21" s="145"/>
      <c r="C21" s="143" t="s">
        <v>16</v>
      </c>
      <c r="D21" s="144"/>
      <c r="E21" s="145"/>
    </row>
    <row r="22" spans="1:10" ht="15.75" customHeight="1">
      <c r="A22" s="146" t="s">
        <v>308</v>
      </c>
      <c r="B22" s="145"/>
      <c r="C22" s="143" t="str">
        <f t="shared" ref="C22:C24" si="1">LOWER(A22)</f>
        <v>good</v>
      </c>
      <c r="D22" s="144"/>
      <c r="E22" s="145"/>
      <c r="F22" s="4" t="e">
        <f t="shared" ref="F22:F23" ca="1" si="2">_xludf.FORMULATEXT(C22)</f>
        <v>#NAME?</v>
      </c>
    </row>
    <row r="23" spans="1:10" ht="15.75" customHeight="1">
      <c r="A23" s="146" t="s">
        <v>309</v>
      </c>
      <c r="B23" s="145"/>
      <c r="C23" s="143" t="str">
        <f t="shared" si="1"/>
        <v>how are you?</v>
      </c>
      <c r="D23" s="144"/>
      <c r="E23" s="145"/>
      <c r="F23" s="4" t="e">
        <f t="shared" ca="1" si="2"/>
        <v>#NAME?</v>
      </c>
    </row>
    <row r="24" spans="1:10" ht="15.75" customHeight="1">
      <c r="C24" s="143" t="str">
        <f t="shared" si="1"/>
        <v/>
      </c>
      <c r="D24" s="144"/>
      <c r="E24" s="145"/>
    </row>
    <row r="25" spans="1:10" ht="15.75" customHeight="1">
      <c r="A25" s="6" t="s">
        <v>292</v>
      </c>
    </row>
    <row r="26" spans="1:10" ht="15.75" customHeight="1">
      <c r="A26" s="4" t="s">
        <v>310</v>
      </c>
    </row>
    <row r="27" spans="1:10" ht="15.75" customHeight="1">
      <c r="A27" s="8" t="s">
        <v>113</v>
      </c>
      <c r="B27" s="8" t="s">
        <v>114</v>
      </c>
      <c r="C27" s="143" t="s">
        <v>49</v>
      </c>
      <c r="D27" s="145"/>
    </row>
    <row r="28" spans="1:10" ht="15.75" customHeight="1">
      <c r="A28" s="9" t="s">
        <v>295</v>
      </c>
      <c r="B28" s="9" t="s">
        <v>294</v>
      </c>
      <c r="C28" s="146" t="b">
        <f t="shared" ref="C28:C30" si="3">EXACT(LOWER(A28), B28)</f>
        <v>1</v>
      </c>
      <c r="D28" s="145"/>
    </row>
    <row r="29" spans="1:10" ht="15.75" customHeight="1">
      <c r="A29" s="9" t="s">
        <v>295</v>
      </c>
      <c r="B29" s="9" t="s">
        <v>311</v>
      </c>
      <c r="C29" s="146" t="b">
        <f t="shared" si="3"/>
        <v>0</v>
      </c>
      <c r="D29" s="145"/>
    </row>
    <row r="30" spans="1:10" ht="15.75" customHeight="1">
      <c r="A30" s="9" t="s">
        <v>298</v>
      </c>
      <c r="B30" s="9" t="s">
        <v>297</v>
      </c>
      <c r="C30" s="146" t="b">
        <f t="shared" si="3"/>
        <v>0</v>
      </c>
      <c r="D30" s="145"/>
    </row>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C29:D29"/>
    <mergeCell ref="C30:D30"/>
    <mergeCell ref="A21:B21"/>
    <mergeCell ref="C21:E21"/>
    <mergeCell ref="A22:B22"/>
    <mergeCell ref="C22:E22"/>
    <mergeCell ref="A23:B23"/>
    <mergeCell ref="C23:E23"/>
    <mergeCell ref="C24:E24"/>
    <mergeCell ref="A17:B17"/>
    <mergeCell ref="C17:D17"/>
    <mergeCell ref="E17:F17"/>
    <mergeCell ref="C27:D27"/>
    <mergeCell ref="C28:D28"/>
    <mergeCell ref="C15:D15"/>
    <mergeCell ref="E15:F15"/>
    <mergeCell ref="A15:B15"/>
    <mergeCell ref="A16:B16"/>
    <mergeCell ref="C16:D16"/>
    <mergeCell ref="E16:F16"/>
    <mergeCell ref="A1:B1"/>
    <mergeCell ref="A4:J4"/>
    <mergeCell ref="A14:B14"/>
    <mergeCell ref="C14:D14"/>
    <mergeCell ref="E14:F14"/>
  </mergeCells>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000"/>
  <sheetViews>
    <sheetView showGridLines="0" workbookViewId="0">
      <selection sqref="A1:B1"/>
    </sheetView>
  </sheetViews>
  <sheetFormatPr defaultColWidth="14.42578125" defaultRowHeight="15" customHeight="1"/>
  <cols>
    <col min="1" max="2" width="12.7109375" customWidth="1"/>
    <col min="3" max="3" width="10.140625" customWidth="1"/>
    <col min="4" max="4" width="15.5703125" customWidth="1"/>
    <col min="5" max="5" width="9.7109375" customWidth="1"/>
    <col min="6" max="6" width="8.710937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312</v>
      </c>
      <c r="B1" s="149"/>
      <c r="C1" s="31"/>
      <c r="D1" s="2"/>
      <c r="E1" s="2"/>
      <c r="F1" s="2"/>
      <c r="G1" s="2"/>
      <c r="H1" s="2"/>
      <c r="I1" s="2"/>
      <c r="J1" s="2"/>
      <c r="K1" s="2"/>
      <c r="L1" s="2"/>
    </row>
    <row r="3" spans="1:12" ht="18.75">
      <c r="A3" s="3" t="s">
        <v>1</v>
      </c>
    </row>
    <row r="4" spans="1:12" ht="15" customHeight="1">
      <c r="A4" s="162" t="s">
        <v>313</v>
      </c>
      <c r="B4" s="142"/>
      <c r="C4" s="142"/>
      <c r="D4" s="142"/>
      <c r="E4" s="142"/>
      <c r="F4" s="142"/>
      <c r="G4" s="142"/>
      <c r="H4" s="142"/>
      <c r="I4" s="142"/>
      <c r="J4" s="142"/>
    </row>
    <row r="5" spans="1:12" ht="15" customHeight="1">
      <c r="A5" s="142"/>
      <c r="B5" s="142"/>
      <c r="C5" s="142"/>
      <c r="D5" s="142"/>
      <c r="E5" s="142"/>
      <c r="F5" s="142"/>
      <c r="G5" s="142"/>
      <c r="H5" s="142"/>
      <c r="I5" s="142"/>
      <c r="J5" s="142"/>
    </row>
    <row r="6" spans="1:12">
      <c r="A6" s="32"/>
      <c r="B6" s="32"/>
      <c r="C6" s="32"/>
      <c r="D6" s="32"/>
      <c r="E6" s="32"/>
      <c r="F6" s="32"/>
      <c r="G6" s="32"/>
      <c r="H6" s="32"/>
      <c r="I6" s="32"/>
      <c r="J6" s="32"/>
    </row>
    <row r="7" spans="1:12" ht="18.75">
      <c r="A7" s="3" t="s">
        <v>3</v>
      </c>
    </row>
    <row r="8" spans="1:12" ht="15.75">
      <c r="A8" s="5" t="s">
        <v>314</v>
      </c>
    </row>
    <row r="10" spans="1:12" ht="15.75">
      <c r="A10" s="6" t="s">
        <v>222</v>
      </c>
    </row>
    <row r="11" spans="1:12">
      <c r="A11" s="4" t="s">
        <v>315</v>
      </c>
    </row>
    <row r="13" spans="1:12" ht="15.75">
      <c r="A13" s="6" t="s">
        <v>11</v>
      </c>
    </row>
    <row r="14" spans="1:12">
      <c r="A14" s="34" t="s">
        <v>303</v>
      </c>
    </row>
    <row r="15" spans="1:12">
      <c r="A15" s="143" t="s">
        <v>222</v>
      </c>
      <c r="B15" s="145"/>
      <c r="C15" s="143" t="s">
        <v>49</v>
      </c>
      <c r="D15" s="145"/>
      <c r="E15" s="143" t="s">
        <v>16</v>
      </c>
      <c r="F15" s="145"/>
    </row>
    <row r="16" spans="1:12">
      <c r="A16" s="146" t="s">
        <v>283</v>
      </c>
      <c r="B16" s="145"/>
      <c r="C16" s="146">
        <f t="shared" ref="C16:C19" si="0">LEN(A16)</f>
        <v>6</v>
      </c>
      <c r="D16" s="145"/>
      <c r="E16" s="146" t="s">
        <v>316</v>
      </c>
      <c r="F16" s="145"/>
    </row>
    <row r="17" spans="1:10" ht="15" customHeight="1">
      <c r="A17" s="146" t="s">
        <v>317</v>
      </c>
      <c r="B17" s="145"/>
      <c r="C17" s="146">
        <f t="shared" si="0"/>
        <v>6</v>
      </c>
      <c r="D17" s="145"/>
      <c r="E17" s="146" t="s">
        <v>318</v>
      </c>
      <c r="F17" s="145"/>
    </row>
    <row r="18" spans="1:10">
      <c r="A18" s="146" t="s">
        <v>319</v>
      </c>
      <c r="B18" s="145"/>
      <c r="C18" s="146">
        <f t="shared" si="0"/>
        <v>22</v>
      </c>
      <c r="D18" s="145"/>
      <c r="E18" s="146" t="s">
        <v>320</v>
      </c>
      <c r="F18" s="145"/>
    </row>
    <row r="19" spans="1:10">
      <c r="A19" s="146">
        <v>90</v>
      </c>
      <c r="B19" s="145"/>
      <c r="C19" s="146">
        <f t="shared" si="0"/>
        <v>2</v>
      </c>
      <c r="D19" s="145"/>
      <c r="E19" s="146" t="s">
        <v>321</v>
      </c>
      <c r="F19" s="145"/>
    </row>
    <row r="20" spans="1:10">
      <c r="A20" s="30"/>
      <c r="B20" s="30"/>
      <c r="C20" s="30"/>
      <c r="D20" s="30"/>
    </row>
    <row r="21" spans="1:10" ht="15.75" customHeight="1">
      <c r="A21" s="6" t="s">
        <v>289</v>
      </c>
    </row>
    <row r="22" spans="1:10" ht="15" customHeight="1">
      <c r="A22" s="34" t="s">
        <v>322</v>
      </c>
      <c r="B22" s="7"/>
      <c r="C22" s="7"/>
      <c r="D22" s="7"/>
      <c r="E22" s="7"/>
      <c r="F22" s="7"/>
      <c r="G22" s="7"/>
      <c r="H22" s="7"/>
      <c r="I22" s="7"/>
      <c r="J22" s="7"/>
    </row>
    <row r="23" spans="1:10" ht="15.75" customHeight="1">
      <c r="A23" s="143" t="s">
        <v>222</v>
      </c>
      <c r="B23" s="145"/>
      <c r="C23" s="143" t="s">
        <v>16</v>
      </c>
      <c r="D23" s="144"/>
      <c r="E23" s="145"/>
    </row>
    <row r="24" spans="1:10" ht="15.75" customHeight="1">
      <c r="A24" s="146" t="s">
        <v>323</v>
      </c>
      <c r="B24" s="145"/>
      <c r="C24" s="143">
        <f t="shared" ref="C24:C25" si="1">LEN(A24)</f>
        <v>24</v>
      </c>
      <c r="D24" s="144"/>
      <c r="E24" s="145"/>
      <c r="F24" s="4" t="e">
        <f t="shared" ref="F24:F25" ca="1" si="2">_xludf.FORMULATEXT(C24)</f>
        <v>#NAME?</v>
      </c>
    </row>
    <row r="25" spans="1:10" ht="15.75" customHeight="1">
      <c r="A25" s="146" t="s">
        <v>324</v>
      </c>
      <c r="B25" s="145"/>
      <c r="C25" s="143">
        <f t="shared" si="1"/>
        <v>30</v>
      </c>
      <c r="D25" s="144"/>
      <c r="E25" s="145"/>
      <c r="F25" s="4" t="e">
        <f t="shared" ca="1" si="2"/>
        <v>#NAME?</v>
      </c>
    </row>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8:B18"/>
    <mergeCell ref="C18:D18"/>
    <mergeCell ref="E18:F18"/>
    <mergeCell ref="A25:B25"/>
    <mergeCell ref="C25:E25"/>
    <mergeCell ref="A19:B19"/>
    <mergeCell ref="C19:D19"/>
    <mergeCell ref="E19:F19"/>
    <mergeCell ref="A23:B23"/>
    <mergeCell ref="C23:E23"/>
    <mergeCell ref="A24:B24"/>
    <mergeCell ref="C24:E24"/>
    <mergeCell ref="C16:D16"/>
    <mergeCell ref="E16:F16"/>
    <mergeCell ref="A16:B16"/>
    <mergeCell ref="A17:B17"/>
    <mergeCell ref="C17:D17"/>
    <mergeCell ref="E17:F17"/>
    <mergeCell ref="A1:B1"/>
    <mergeCell ref="A4:J5"/>
    <mergeCell ref="A15:B15"/>
    <mergeCell ref="C15:D15"/>
    <mergeCell ref="E15:F15"/>
  </mergeCells>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000"/>
  <sheetViews>
    <sheetView showGridLines="0" topLeftCell="A7" workbookViewId="0">
      <selection sqref="A1:B1"/>
    </sheetView>
  </sheetViews>
  <sheetFormatPr defaultColWidth="14.42578125" defaultRowHeight="15" customHeight="1"/>
  <cols>
    <col min="1" max="2" width="12.7109375" customWidth="1"/>
    <col min="3" max="3" width="10.140625" customWidth="1"/>
    <col min="4" max="4" width="15.5703125" customWidth="1"/>
    <col min="5" max="5" width="9.7109375" customWidth="1"/>
    <col min="6" max="6" width="11"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325</v>
      </c>
      <c r="B1" s="149"/>
      <c r="C1" s="31"/>
      <c r="D1" s="2"/>
      <c r="E1" s="2"/>
      <c r="F1" s="2"/>
      <c r="G1" s="2"/>
      <c r="H1" s="2"/>
      <c r="I1" s="2"/>
      <c r="J1" s="2"/>
      <c r="K1" s="2"/>
      <c r="L1" s="2"/>
    </row>
    <row r="3" spans="1:12" ht="18.75">
      <c r="A3" s="3" t="s">
        <v>1</v>
      </c>
    </row>
    <row r="4" spans="1:12" ht="15" customHeight="1">
      <c r="A4" s="162" t="s">
        <v>326</v>
      </c>
      <c r="B4" s="142"/>
      <c r="C4" s="142"/>
      <c r="D4" s="142"/>
      <c r="E4" s="142"/>
      <c r="F4" s="142"/>
      <c r="G4" s="142"/>
      <c r="H4" s="142"/>
      <c r="I4" s="142"/>
      <c r="J4" s="142"/>
    </row>
    <row r="5" spans="1:12" ht="15" customHeight="1">
      <c r="A5" s="142"/>
      <c r="B5" s="142"/>
      <c r="C5" s="142"/>
      <c r="D5" s="142"/>
      <c r="E5" s="142"/>
      <c r="F5" s="142"/>
      <c r="G5" s="142"/>
      <c r="H5" s="142"/>
      <c r="I5" s="142"/>
      <c r="J5" s="142"/>
    </row>
    <row r="6" spans="1:12">
      <c r="A6" s="32"/>
      <c r="B6" s="32"/>
      <c r="C6" s="32"/>
      <c r="D6" s="32"/>
      <c r="E6" s="32"/>
      <c r="F6" s="32"/>
      <c r="G6" s="32"/>
      <c r="H6" s="32"/>
      <c r="I6" s="32"/>
      <c r="J6" s="32"/>
    </row>
    <row r="7" spans="1:12" ht="18.75">
      <c r="A7" s="3" t="s">
        <v>3</v>
      </c>
    </row>
    <row r="8" spans="1:12" ht="15.75">
      <c r="A8" s="5" t="s">
        <v>327</v>
      </c>
    </row>
    <row r="10" spans="1:12" ht="15.75">
      <c r="A10" s="6" t="s">
        <v>222</v>
      </c>
    </row>
    <row r="11" spans="1:12">
      <c r="A11" s="4" t="s">
        <v>328</v>
      </c>
    </row>
    <row r="13" spans="1:12" ht="15.75">
      <c r="A13" s="6" t="s">
        <v>329</v>
      </c>
    </row>
    <row r="14" spans="1:12">
      <c r="A14" s="4" t="s">
        <v>330</v>
      </c>
    </row>
    <row r="16" spans="1:12" ht="15.75">
      <c r="A16" s="6" t="s">
        <v>11</v>
      </c>
    </row>
    <row r="17" spans="1:10">
      <c r="A17" s="34" t="s">
        <v>331</v>
      </c>
    </row>
    <row r="18" spans="1:10">
      <c r="A18" s="143" t="s">
        <v>222</v>
      </c>
      <c r="B18" s="145"/>
      <c r="C18" s="143" t="s">
        <v>49</v>
      </c>
      <c r="D18" s="145"/>
      <c r="E18" s="143" t="s">
        <v>16</v>
      </c>
      <c r="F18" s="145"/>
    </row>
    <row r="19" spans="1:10">
      <c r="A19" s="146" t="s">
        <v>283</v>
      </c>
      <c r="B19" s="145"/>
      <c r="C19" s="146" t="str">
        <f>LEFT(A19,5)</f>
        <v>Lapto</v>
      </c>
      <c r="D19" s="145"/>
      <c r="E19" s="146" t="s">
        <v>332</v>
      </c>
      <c r="F19" s="145"/>
    </row>
    <row r="20" spans="1:10" ht="15" customHeight="1">
      <c r="A20" s="146" t="s">
        <v>333</v>
      </c>
      <c r="B20" s="145"/>
      <c r="C20" s="146" t="str">
        <f>LEFT(A20,8)</f>
        <v>EXCEL IS</v>
      </c>
      <c r="D20" s="145"/>
      <c r="E20" s="146" t="s">
        <v>334</v>
      </c>
      <c r="F20" s="145"/>
    </row>
    <row r="21" spans="1:10" ht="15.75" customHeight="1">
      <c r="A21" s="146" t="s">
        <v>319</v>
      </c>
      <c r="B21" s="145"/>
      <c r="C21" s="146" t="str">
        <f>LEFT(A21,15)</f>
        <v>SUPERSTORE IS C</v>
      </c>
      <c r="D21" s="145"/>
      <c r="E21" s="146" t="s">
        <v>335</v>
      </c>
      <c r="F21" s="145"/>
    </row>
    <row r="22" spans="1:10" ht="15.75" customHeight="1">
      <c r="A22" s="146">
        <v>90</v>
      </c>
      <c r="B22" s="145"/>
      <c r="C22" s="146" t="str">
        <f>LEFT(A22,1)</f>
        <v>9</v>
      </c>
      <c r="D22" s="145"/>
      <c r="E22" s="146" t="s">
        <v>336</v>
      </c>
      <c r="F22" s="145"/>
    </row>
    <row r="23" spans="1:10" ht="15.75" customHeight="1">
      <c r="A23" s="146" t="s">
        <v>319</v>
      </c>
      <c r="B23" s="145"/>
      <c r="C23" s="146" t="str">
        <f>LEFT(A23,LEN(A23)-7)</f>
        <v>SUPERSTORE IS C</v>
      </c>
      <c r="D23" s="145"/>
      <c r="E23" s="146" t="s">
        <v>337</v>
      </c>
      <c r="F23" s="145"/>
    </row>
    <row r="24" spans="1:10" ht="15.75" customHeight="1">
      <c r="A24" s="30"/>
      <c r="B24" s="30"/>
      <c r="C24" s="30"/>
      <c r="D24" s="30"/>
    </row>
    <row r="25" spans="1:10" ht="15.75" customHeight="1">
      <c r="A25" s="6" t="s">
        <v>289</v>
      </c>
    </row>
    <row r="26" spans="1:10" ht="15" customHeight="1">
      <c r="A26" s="34" t="s">
        <v>338</v>
      </c>
      <c r="B26" s="7"/>
      <c r="C26" s="7"/>
      <c r="D26" s="7"/>
      <c r="E26" s="7"/>
      <c r="F26" s="7"/>
      <c r="G26" s="7"/>
      <c r="H26" s="7"/>
      <c r="I26" s="7"/>
      <c r="J26" s="7"/>
    </row>
    <row r="27" spans="1:10" ht="15.75" customHeight="1">
      <c r="A27" s="143" t="s">
        <v>222</v>
      </c>
      <c r="B27" s="145"/>
      <c r="C27" s="165" t="s">
        <v>49</v>
      </c>
      <c r="D27" s="145"/>
      <c r="E27" s="143" t="s">
        <v>16</v>
      </c>
      <c r="F27" s="144"/>
      <c r="G27" s="145"/>
    </row>
    <row r="28" spans="1:10" ht="15.75" customHeight="1">
      <c r="A28" s="146" t="s">
        <v>323</v>
      </c>
      <c r="B28" s="145"/>
      <c r="C28" s="146" t="s">
        <v>339</v>
      </c>
      <c r="D28" s="145"/>
      <c r="E28" s="143" t="str">
        <f>LEFT(A28,19)</f>
        <v>Phone Number is +(0</v>
      </c>
      <c r="F28" s="144"/>
      <c r="G28" s="145"/>
      <c r="H28" s="4" t="e">
        <f t="shared" ref="H28:H29" ca="1" si="0">_xludf.FORMULATEXT(E28)</f>
        <v>#NAME?</v>
      </c>
    </row>
    <row r="29" spans="1:10" ht="15.75" customHeight="1">
      <c r="A29" s="146" t="s">
        <v>324</v>
      </c>
      <c r="B29" s="145"/>
      <c r="C29" s="146" t="s">
        <v>340</v>
      </c>
      <c r="D29" s="145"/>
      <c r="E29" s="143" t="str">
        <f>LEFT(A29,25)</f>
        <v>This is used for data cle</v>
      </c>
      <c r="F29" s="144"/>
      <c r="G29" s="145"/>
      <c r="H29" s="4" t="e">
        <f t="shared" ca="1" si="0"/>
        <v>#NAME?</v>
      </c>
    </row>
    <row r="30" spans="1:10" ht="15.75" customHeight="1"/>
    <row r="31" spans="1:10" ht="15.75" customHeight="1">
      <c r="A31" s="6" t="s">
        <v>292</v>
      </c>
    </row>
    <row r="32" spans="1:10" ht="15" customHeight="1">
      <c r="A32" s="34" t="s">
        <v>341</v>
      </c>
      <c r="B32" s="7"/>
      <c r="C32" s="7"/>
      <c r="D32" s="7"/>
      <c r="E32" s="7"/>
      <c r="F32" s="7"/>
      <c r="G32" s="7"/>
      <c r="H32" s="7"/>
      <c r="I32" s="7"/>
      <c r="J32" s="7"/>
    </row>
    <row r="33" spans="1:8" ht="15.75" customHeight="1">
      <c r="A33" s="143" t="s">
        <v>222</v>
      </c>
      <c r="B33" s="145"/>
      <c r="C33" s="165" t="s">
        <v>49</v>
      </c>
      <c r="D33" s="145"/>
      <c r="E33" s="143" t="s">
        <v>16</v>
      </c>
      <c r="F33" s="144"/>
      <c r="G33" s="145"/>
    </row>
    <row r="34" spans="1:8" ht="15.75" customHeight="1">
      <c r="A34" s="146" t="s">
        <v>323</v>
      </c>
      <c r="B34" s="145"/>
      <c r="C34" s="146" t="s">
        <v>339</v>
      </c>
      <c r="D34" s="145"/>
      <c r="E34" s="143" t="str">
        <f t="shared" ref="E34:E35" si="1">LEFT(A34, LEN(A34) - 5)</f>
        <v>Phone Number is +(0</v>
      </c>
      <c r="F34" s="144"/>
      <c r="G34" s="145"/>
      <c r="H34" s="4" t="e">
        <f t="shared" ref="H34:H35" ca="1" si="2">_xludf.FORMULATEXT(E34)</f>
        <v>#NAME?</v>
      </c>
    </row>
    <row r="35" spans="1:8" ht="15.75" customHeight="1">
      <c r="A35" s="146" t="s">
        <v>324</v>
      </c>
      <c r="B35" s="145"/>
      <c r="C35" s="146" t="s">
        <v>340</v>
      </c>
      <c r="D35" s="145"/>
      <c r="E35" s="143" t="str">
        <f t="shared" si="1"/>
        <v>This is used for data cle</v>
      </c>
      <c r="F35" s="144"/>
      <c r="G35" s="145"/>
      <c r="H35" s="4" t="e">
        <f t="shared" ca="1" si="2"/>
        <v>#NAME?</v>
      </c>
    </row>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35:B35"/>
    <mergeCell ref="C35:D35"/>
    <mergeCell ref="E35:G35"/>
    <mergeCell ref="A28:B28"/>
    <mergeCell ref="C28:D28"/>
    <mergeCell ref="E28:G28"/>
    <mergeCell ref="A29:B29"/>
    <mergeCell ref="C29:D29"/>
    <mergeCell ref="E29:G29"/>
    <mergeCell ref="A33:B33"/>
    <mergeCell ref="C33:D33"/>
    <mergeCell ref="E33:G33"/>
    <mergeCell ref="A34:B34"/>
    <mergeCell ref="C34:D34"/>
    <mergeCell ref="E34:G34"/>
    <mergeCell ref="A21:B21"/>
    <mergeCell ref="C21:D21"/>
    <mergeCell ref="E21:F21"/>
    <mergeCell ref="C27:D27"/>
    <mergeCell ref="E27:G27"/>
    <mergeCell ref="A22:B22"/>
    <mergeCell ref="C22:D22"/>
    <mergeCell ref="E22:F22"/>
    <mergeCell ref="A23:B23"/>
    <mergeCell ref="C23:D23"/>
    <mergeCell ref="E23:F23"/>
    <mergeCell ref="A27:B27"/>
    <mergeCell ref="C19:D19"/>
    <mergeCell ref="E19:F19"/>
    <mergeCell ref="A19:B19"/>
    <mergeCell ref="A20:B20"/>
    <mergeCell ref="C20:D20"/>
    <mergeCell ref="E20:F20"/>
    <mergeCell ref="A1:B1"/>
    <mergeCell ref="A4:J5"/>
    <mergeCell ref="A18:B18"/>
    <mergeCell ref="C18:D18"/>
    <mergeCell ref="E18:F18"/>
  </mergeCells>
  <pageMargins left="0.7" right="0.7" top="0.75" bottom="0.75" header="0" footer="0"/>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000"/>
  <sheetViews>
    <sheetView showGridLines="0" topLeftCell="A13" workbookViewId="0">
      <selection sqref="A1:B1"/>
    </sheetView>
  </sheetViews>
  <sheetFormatPr defaultColWidth="14.42578125" defaultRowHeight="15" customHeight="1"/>
  <cols>
    <col min="1" max="2" width="12.7109375" customWidth="1"/>
    <col min="3" max="3" width="10.140625" customWidth="1"/>
    <col min="4" max="4" width="15.5703125" customWidth="1"/>
    <col min="5" max="6" width="12.2851562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342</v>
      </c>
      <c r="B1" s="149"/>
      <c r="C1" s="31"/>
      <c r="D1" s="2"/>
      <c r="E1" s="2"/>
      <c r="F1" s="2"/>
      <c r="G1" s="2"/>
      <c r="H1" s="2"/>
      <c r="I1" s="2"/>
      <c r="J1" s="2"/>
      <c r="K1" s="2"/>
      <c r="L1" s="2"/>
    </row>
    <row r="3" spans="1:12" ht="18.75">
      <c r="A3" s="3" t="s">
        <v>1</v>
      </c>
    </row>
    <row r="4" spans="1:12" ht="15" customHeight="1">
      <c r="A4" s="162" t="s">
        <v>343</v>
      </c>
      <c r="B4" s="142"/>
      <c r="C4" s="142"/>
      <c r="D4" s="142"/>
      <c r="E4" s="142"/>
      <c r="F4" s="142"/>
      <c r="G4" s="142"/>
      <c r="H4" s="142"/>
      <c r="I4" s="142"/>
      <c r="J4" s="142"/>
    </row>
    <row r="5" spans="1:12" ht="15" customHeight="1">
      <c r="A5" s="142"/>
      <c r="B5" s="142"/>
      <c r="C5" s="142"/>
      <c r="D5" s="142"/>
      <c r="E5" s="142"/>
      <c r="F5" s="142"/>
      <c r="G5" s="142"/>
      <c r="H5" s="142"/>
      <c r="I5" s="142"/>
      <c r="J5" s="142"/>
    </row>
    <row r="6" spans="1:12">
      <c r="A6" s="32"/>
      <c r="B6" s="32"/>
      <c r="C6" s="32"/>
      <c r="D6" s="32"/>
      <c r="E6" s="32"/>
      <c r="F6" s="32"/>
      <c r="G6" s="32"/>
      <c r="H6" s="32"/>
      <c r="I6" s="32"/>
      <c r="J6" s="32"/>
    </row>
    <row r="7" spans="1:12" ht="18.75">
      <c r="A7" s="3" t="s">
        <v>3</v>
      </c>
    </row>
    <row r="8" spans="1:12" ht="15.75">
      <c r="A8" s="5" t="s">
        <v>344</v>
      </c>
    </row>
    <row r="10" spans="1:12" ht="15.75">
      <c r="A10" s="6" t="s">
        <v>222</v>
      </c>
    </row>
    <row r="11" spans="1:12">
      <c r="A11" s="4" t="s">
        <v>328</v>
      </c>
    </row>
    <row r="13" spans="1:12" ht="15.75">
      <c r="A13" s="6" t="s">
        <v>329</v>
      </c>
    </row>
    <row r="14" spans="1:12">
      <c r="A14" s="4" t="s">
        <v>330</v>
      </c>
    </row>
    <row r="16" spans="1:12" ht="15.75">
      <c r="A16" s="6" t="s">
        <v>11</v>
      </c>
    </row>
    <row r="17" spans="1:10">
      <c r="A17" s="34" t="s">
        <v>345</v>
      </c>
    </row>
    <row r="18" spans="1:10">
      <c r="A18" s="143" t="s">
        <v>222</v>
      </c>
      <c r="B18" s="145"/>
      <c r="C18" s="143" t="s">
        <v>49</v>
      </c>
      <c r="D18" s="145"/>
      <c r="E18" s="143" t="s">
        <v>16</v>
      </c>
      <c r="F18" s="145"/>
    </row>
    <row r="19" spans="1:10">
      <c r="A19" s="146" t="s">
        <v>283</v>
      </c>
      <c r="B19" s="145"/>
      <c r="C19" s="146" t="str">
        <f>RIGHT(A19,3)</f>
        <v>top</v>
      </c>
      <c r="D19" s="145"/>
      <c r="E19" s="146" t="s">
        <v>346</v>
      </c>
      <c r="F19" s="145"/>
    </row>
    <row r="20" spans="1:10" ht="15" customHeight="1">
      <c r="A20" s="146" t="s">
        <v>333</v>
      </c>
      <c r="B20" s="145"/>
      <c r="C20" s="146" t="str">
        <f>RIGHT(A20,4)</f>
        <v xml:space="preserve"> WOW</v>
      </c>
      <c r="D20" s="145"/>
      <c r="E20" s="146" t="s">
        <v>347</v>
      </c>
      <c r="F20" s="145"/>
    </row>
    <row r="21" spans="1:10" ht="15.75" customHeight="1">
      <c r="A21" s="146" t="s">
        <v>319</v>
      </c>
      <c r="B21" s="145"/>
      <c r="C21" s="146" t="str">
        <f>RIGHT(A21,6)</f>
        <v>OSED ;</v>
      </c>
      <c r="D21" s="145"/>
      <c r="E21" s="146" t="s">
        <v>348</v>
      </c>
      <c r="F21" s="145"/>
    </row>
    <row r="22" spans="1:10" ht="15.75" customHeight="1">
      <c r="A22" s="146">
        <v>90</v>
      </c>
      <c r="B22" s="145"/>
      <c r="C22" s="146" t="str">
        <f>RIGHT(A22,1)</f>
        <v>0</v>
      </c>
      <c r="D22" s="145"/>
      <c r="E22" s="146" t="s">
        <v>349</v>
      </c>
      <c r="F22" s="145"/>
    </row>
    <row r="23" spans="1:10" ht="15.75" customHeight="1">
      <c r="A23" s="146" t="s">
        <v>319</v>
      </c>
      <c r="B23" s="145"/>
      <c r="C23" s="146" t="str">
        <f>RIGHT(A23,LEN(A23)-16)</f>
        <v>OSED ;</v>
      </c>
      <c r="D23" s="145"/>
      <c r="E23" s="146" t="s">
        <v>350</v>
      </c>
      <c r="F23" s="145"/>
    </row>
    <row r="24" spans="1:10" ht="15.75" customHeight="1">
      <c r="A24" s="30"/>
      <c r="B24" s="30"/>
      <c r="C24" s="30"/>
      <c r="D24" s="30"/>
    </row>
    <row r="25" spans="1:10" ht="15.75" customHeight="1">
      <c r="A25" s="6" t="s">
        <v>289</v>
      </c>
    </row>
    <row r="26" spans="1:10" ht="15" customHeight="1">
      <c r="A26" s="34" t="s">
        <v>351</v>
      </c>
      <c r="B26" s="7"/>
      <c r="C26" s="7"/>
      <c r="D26" s="7"/>
      <c r="E26" s="7"/>
      <c r="F26" s="7"/>
      <c r="G26" s="7"/>
      <c r="H26" s="7"/>
      <c r="I26" s="7"/>
      <c r="J26" s="7"/>
    </row>
    <row r="27" spans="1:10" ht="15.75" customHeight="1">
      <c r="A27" s="143" t="s">
        <v>222</v>
      </c>
      <c r="B27" s="145"/>
      <c r="C27" s="165" t="s">
        <v>49</v>
      </c>
      <c r="D27" s="145"/>
      <c r="E27" s="143" t="s">
        <v>16</v>
      </c>
      <c r="F27" s="144"/>
      <c r="G27" s="145"/>
    </row>
    <row r="28" spans="1:10" ht="15.75" customHeight="1">
      <c r="A28" s="146" t="s">
        <v>323</v>
      </c>
      <c r="B28" s="145"/>
      <c r="C28" s="146" t="s">
        <v>352</v>
      </c>
      <c r="D28" s="145"/>
      <c r="E28" s="143" t="str">
        <f>RIGHT(A28,11)</f>
        <v>is +(0)1234</v>
      </c>
      <c r="F28" s="144"/>
      <c r="G28" s="145"/>
      <c r="H28" s="4" t="e">
        <f t="shared" ref="H28:H29" ca="1" si="0">_xludf.FORMULATEXT(E28)</f>
        <v>#NAME?</v>
      </c>
    </row>
    <row r="29" spans="1:10" ht="15.75" customHeight="1">
      <c r="A29" s="146" t="s">
        <v>324</v>
      </c>
      <c r="B29" s="145"/>
      <c r="C29" s="146" t="s">
        <v>353</v>
      </c>
      <c r="D29" s="145"/>
      <c r="E29" s="143" t="str">
        <f>RIGHT(A29,13)</f>
        <v>data cleaning</v>
      </c>
      <c r="F29" s="144"/>
      <c r="G29" s="145"/>
      <c r="H29" s="4" t="e">
        <f t="shared" ca="1" si="0"/>
        <v>#NAME?</v>
      </c>
    </row>
    <row r="30" spans="1:10" ht="15.75" customHeight="1"/>
    <row r="31" spans="1:10" ht="15.75" customHeight="1">
      <c r="A31" s="6" t="s">
        <v>292</v>
      </c>
    </row>
    <row r="32" spans="1:10" ht="15" customHeight="1">
      <c r="A32" s="34" t="s">
        <v>354</v>
      </c>
      <c r="B32" s="7"/>
      <c r="C32" s="7"/>
      <c r="D32" s="7"/>
      <c r="E32" s="7"/>
      <c r="F32" s="7"/>
      <c r="G32" s="7"/>
      <c r="H32" s="7"/>
      <c r="I32" s="7"/>
      <c r="J32" s="7"/>
    </row>
    <row r="33" spans="1:8" ht="15.75" customHeight="1">
      <c r="A33" s="143" t="s">
        <v>222</v>
      </c>
      <c r="B33" s="145"/>
      <c r="C33" s="165" t="s">
        <v>49</v>
      </c>
      <c r="D33" s="145"/>
      <c r="E33" s="143" t="s">
        <v>16</v>
      </c>
      <c r="F33" s="144"/>
      <c r="G33" s="145"/>
    </row>
    <row r="34" spans="1:8" ht="15.75" customHeight="1">
      <c r="A34" s="146" t="s">
        <v>323</v>
      </c>
      <c r="B34" s="145"/>
      <c r="C34" s="146" t="s">
        <v>355</v>
      </c>
      <c r="D34" s="145"/>
      <c r="E34" s="143" t="str">
        <f t="shared" ref="E34:E35" si="1">RIGHT(A34, LEN(A34) - 5)</f>
        <v xml:space="preserve"> Number is +(0)1234</v>
      </c>
      <c r="F34" s="144"/>
      <c r="G34" s="145"/>
      <c r="H34" s="4" t="e">
        <f t="shared" ref="H34:H35" ca="1" si="2">_xludf.FORMULATEXT(E34)</f>
        <v>#NAME?</v>
      </c>
    </row>
    <row r="35" spans="1:8" ht="15.75" customHeight="1">
      <c r="A35" s="146" t="s">
        <v>324</v>
      </c>
      <c r="B35" s="145"/>
      <c r="C35" s="146" t="s">
        <v>356</v>
      </c>
      <c r="D35" s="145"/>
      <c r="E35" s="143" t="str">
        <f t="shared" si="1"/>
        <v>is used for data cleaning</v>
      </c>
      <c r="F35" s="144"/>
      <c r="G35" s="145"/>
      <c r="H35" s="4" t="e">
        <f t="shared" ca="1" si="2"/>
        <v>#NAME?</v>
      </c>
    </row>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35:B35"/>
    <mergeCell ref="C35:D35"/>
    <mergeCell ref="E35:G35"/>
    <mergeCell ref="A28:B28"/>
    <mergeCell ref="C28:D28"/>
    <mergeCell ref="E28:G28"/>
    <mergeCell ref="A29:B29"/>
    <mergeCell ref="C29:D29"/>
    <mergeCell ref="E29:G29"/>
    <mergeCell ref="A33:B33"/>
    <mergeCell ref="C33:D33"/>
    <mergeCell ref="E33:G33"/>
    <mergeCell ref="A34:B34"/>
    <mergeCell ref="C34:D34"/>
    <mergeCell ref="E34:G34"/>
    <mergeCell ref="A21:B21"/>
    <mergeCell ref="C21:D21"/>
    <mergeCell ref="E21:F21"/>
    <mergeCell ref="C27:D27"/>
    <mergeCell ref="E27:G27"/>
    <mergeCell ref="A22:B22"/>
    <mergeCell ref="C22:D22"/>
    <mergeCell ref="E22:F22"/>
    <mergeCell ref="A23:B23"/>
    <mergeCell ref="C23:D23"/>
    <mergeCell ref="E23:F23"/>
    <mergeCell ref="A27:B27"/>
    <mergeCell ref="C19:D19"/>
    <mergeCell ref="E19:F19"/>
    <mergeCell ref="A19:B19"/>
    <mergeCell ref="A20:B20"/>
    <mergeCell ref="C20:D20"/>
    <mergeCell ref="E20:F20"/>
    <mergeCell ref="A1:B1"/>
    <mergeCell ref="A4:J5"/>
    <mergeCell ref="A18:B18"/>
    <mergeCell ref="C18:D18"/>
    <mergeCell ref="E18:F18"/>
  </mergeCells>
  <pageMargins left="0.7" right="0.7" top="0.75" bottom="0.75"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000"/>
  <sheetViews>
    <sheetView showGridLines="0" topLeftCell="A16" workbookViewId="0">
      <selection sqref="A1:B1"/>
    </sheetView>
  </sheetViews>
  <sheetFormatPr defaultColWidth="14.42578125" defaultRowHeight="15" customHeight="1"/>
  <cols>
    <col min="1" max="2" width="12.7109375" customWidth="1"/>
    <col min="3" max="3" width="10.140625" customWidth="1"/>
    <col min="4" max="4" width="15.5703125" customWidth="1"/>
    <col min="5" max="5" width="9.7109375" customWidth="1"/>
    <col min="6" max="6" width="8.7109375" customWidth="1"/>
    <col min="7" max="7" width="13.5703125" customWidth="1"/>
    <col min="8" max="8" width="8.7109375" customWidth="1"/>
    <col min="9" max="9" width="10.140625" customWidth="1"/>
    <col min="10" max="10" width="12.140625" customWidth="1"/>
    <col min="11" max="11" width="11.28515625" customWidth="1"/>
    <col min="12" max="12" width="10.140625" customWidth="1"/>
  </cols>
  <sheetData>
    <row r="1" spans="1:12" ht="31.5">
      <c r="A1" s="161" t="s">
        <v>357</v>
      </c>
      <c r="B1" s="149"/>
      <c r="C1" s="31"/>
      <c r="D1" s="2"/>
      <c r="E1" s="2"/>
      <c r="F1" s="2"/>
      <c r="G1" s="2"/>
      <c r="H1" s="2"/>
      <c r="I1" s="2"/>
      <c r="J1" s="2"/>
      <c r="K1" s="2"/>
      <c r="L1" s="2"/>
    </row>
    <row r="3" spans="1:12" ht="18.75">
      <c r="A3" s="3" t="s">
        <v>1</v>
      </c>
    </row>
    <row r="4" spans="1:12" ht="15" customHeight="1">
      <c r="A4" s="162" t="s">
        <v>358</v>
      </c>
      <c r="B4" s="142"/>
      <c r="C4" s="142"/>
      <c r="D4" s="142"/>
      <c r="E4" s="142"/>
      <c r="F4" s="142"/>
      <c r="G4" s="142"/>
      <c r="H4" s="142"/>
      <c r="I4" s="142"/>
      <c r="J4" s="142"/>
    </row>
    <row r="5" spans="1:12" ht="15" customHeight="1">
      <c r="A5" s="142"/>
      <c r="B5" s="142"/>
      <c r="C5" s="142"/>
      <c r="D5" s="142"/>
      <c r="E5" s="142"/>
      <c r="F5" s="142"/>
      <c r="G5" s="142"/>
      <c r="H5" s="142"/>
      <c r="I5" s="142"/>
      <c r="J5" s="142"/>
    </row>
    <row r="6" spans="1:12">
      <c r="A6" s="32"/>
      <c r="B6" s="32"/>
      <c r="C6" s="32"/>
      <c r="D6" s="32"/>
      <c r="E6" s="32"/>
      <c r="F6" s="32"/>
      <c r="G6" s="32"/>
      <c r="H6" s="32"/>
      <c r="I6" s="32"/>
      <c r="J6" s="32"/>
    </row>
    <row r="7" spans="1:12" ht="18.75">
      <c r="A7" s="3" t="s">
        <v>3</v>
      </c>
    </row>
    <row r="8" spans="1:12" ht="15.75">
      <c r="A8" s="5" t="s">
        <v>359</v>
      </c>
    </row>
    <row r="10" spans="1:12" ht="15.75">
      <c r="A10" s="6" t="s">
        <v>222</v>
      </c>
    </row>
    <row r="11" spans="1:12">
      <c r="A11" s="4" t="s">
        <v>328</v>
      </c>
    </row>
    <row r="13" spans="1:12" ht="15.75">
      <c r="A13" s="6" t="s">
        <v>360</v>
      </c>
    </row>
    <row r="14" spans="1:12">
      <c r="A14" s="4" t="s">
        <v>361</v>
      </c>
    </row>
    <row r="16" spans="1:12" ht="15.75">
      <c r="A16" s="6" t="s">
        <v>329</v>
      </c>
    </row>
    <row r="17" spans="1:10">
      <c r="A17" s="4" t="s">
        <v>362</v>
      </c>
    </row>
    <row r="19" spans="1:10" ht="15.75">
      <c r="A19" s="6" t="s">
        <v>11</v>
      </c>
    </row>
    <row r="20" spans="1:10">
      <c r="A20" s="34" t="s">
        <v>345</v>
      </c>
    </row>
    <row r="21" spans="1:10" ht="15.75" customHeight="1">
      <c r="A21" s="143" t="s">
        <v>222</v>
      </c>
      <c r="B21" s="145"/>
      <c r="C21" s="143" t="s">
        <v>49</v>
      </c>
      <c r="D21" s="145"/>
      <c r="E21" s="143" t="s">
        <v>16</v>
      </c>
      <c r="F21" s="145"/>
    </row>
    <row r="22" spans="1:10" ht="15.75" customHeight="1">
      <c r="A22" s="146" t="s">
        <v>363</v>
      </c>
      <c r="B22" s="145"/>
      <c r="C22" s="146" t="str">
        <f>MID(A22,4,6)</f>
        <v>top re</v>
      </c>
      <c r="D22" s="145"/>
      <c r="E22" s="146" t="s">
        <v>364</v>
      </c>
      <c r="F22" s="145"/>
    </row>
    <row r="23" spans="1:10" ht="15" customHeight="1">
      <c r="A23" s="146" t="s">
        <v>333</v>
      </c>
      <c r="B23" s="145"/>
      <c r="C23" s="146" t="str">
        <f>MID(A23,2,9)</f>
        <v>XCEL IS W</v>
      </c>
      <c r="D23" s="145"/>
      <c r="E23" s="146" t="s">
        <v>365</v>
      </c>
      <c r="F23" s="145"/>
    </row>
    <row r="24" spans="1:10" ht="15.75" customHeight="1">
      <c r="A24" s="146" t="s">
        <v>319</v>
      </c>
      <c r="B24" s="145"/>
      <c r="C24" s="146" t="str">
        <f>MID(A24,10,9)</f>
        <v>E IS CLOS</v>
      </c>
      <c r="D24" s="145"/>
      <c r="E24" s="146" t="s">
        <v>366</v>
      </c>
      <c r="F24" s="145"/>
    </row>
    <row r="25" spans="1:10" ht="15.75" customHeight="1">
      <c r="A25" s="146" t="s">
        <v>367</v>
      </c>
      <c r="B25" s="145"/>
      <c r="C25" s="146" t="str">
        <f>MID(A25,2,6)</f>
        <v>0 EMPL</v>
      </c>
      <c r="D25" s="145"/>
      <c r="E25" s="146" t="s">
        <v>368</v>
      </c>
      <c r="F25" s="145"/>
    </row>
    <row r="26" spans="1:10" ht="15.75" customHeight="1">
      <c r="A26" s="30"/>
      <c r="B26" s="30"/>
      <c r="C26" s="30"/>
      <c r="D26" s="30"/>
    </row>
    <row r="27" spans="1:10" ht="15.75" customHeight="1">
      <c r="A27" s="6" t="s">
        <v>27</v>
      </c>
    </row>
    <row r="28" spans="1:10" ht="15" customHeight="1">
      <c r="A28" s="34" t="s">
        <v>369</v>
      </c>
      <c r="B28" s="7"/>
      <c r="C28" s="7"/>
      <c r="D28" s="7"/>
      <c r="E28" s="7"/>
      <c r="F28" s="7"/>
      <c r="G28" s="7"/>
      <c r="H28" s="7"/>
      <c r="I28" s="7"/>
      <c r="J28" s="7"/>
    </row>
    <row r="29" spans="1:10" ht="15.75" customHeight="1">
      <c r="A29" s="143" t="s">
        <v>222</v>
      </c>
      <c r="B29" s="145"/>
      <c r="C29" s="165" t="s">
        <v>49</v>
      </c>
      <c r="D29" s="145"/>
      <c r="E29" s="143" t="s">
        <v>16</v>
      </c>
      <c r="F29" s="144"/>
      <c r="G29" s="145"/>
    </row>
    <row r="30" spans="1:10" ht="15.75" customHeight="1">
      <c r="A30" s="146" t="s">
        <v>323</v>
      </c>
      <c r="B30" s="145"/>
      <c r="C30" s="146" t="s">
        <v>370</v>
      </c>
      <c r="D30" s="145"/>
      <c r="E30" s="143" t="str">
        <f>MID(A30,13,8)</f>
        <v xml:space="preserve"> is +(0)</v>
      </c>
      <c r="F30" s="144"/>
      <c r="G30" s="145"/>
      <c r="H30" s="4" t="e">
        <f t="shared" ref="H30:H33" ca="1" si="0">_xludf.FORMULATEXT(E30)</f>
        <v>#NAME?</v>
      </c>
    </row>
    <row r="31" spans="1:10" ht="15.75" customHeight="1">
      <c r="A31" s="146" t="s">
        <v>324</v>
      </c>
      <c r="B31" s="145"/>
      <c r="C31" s="146" t="s">
        <v>371</v>
      </c>
      <c r="D31" s="145"/>
      <c r="E31" s="143" t="str">
        <f>MID(A31,13,14)</f>
        <v xml:space="preserve"> for data clea</v>
      </c>
      <c r="F31" s="144"/>
      <c r="G31" s="145"/>
      <c r="H31" s="4" t="e">
        <f t="shared" ca="1" si="0"/>
        <v>#NAME?</v>
      </c>
    </row>
    <row r="32" spans="1:10" ht="15.75" customHeight="1">
      <c r="A32" s="146" t="s">
        <v>372</v>
      </c>
      <c r="B32" s="145"/>
      <c r="C32" s="146" t="s">
        <v>373</v>
      </c>
      <c r="D32" s="145"/>
      <c r="E32" s="143" t="str">
        <f>MID(A32,9,4)</f>
        <v xml:space="preserve"> you</v>
      </c>
      <c r="F32" s="144"/>
      <c r="G32" s="145"/>
      <c r="H32" s="4" t="e">
        <f t="shared" ca="1" si="0"/>
        <v>#NAME?</v>
      </c>
    </row>
    <row r="33" spans="1:8" ht="15.75" customHeight="1">
      <c r="A33" s="146" t="s">
        <v>374</v>
      </c>
      <c r="B33" s="145"/>
      <c r="C33" s="146" t="s">
        <v>375</v>
      </c>
      <c r="D33" s="145"/>
      <c r="E33" s="143" t="str">
        <f>MID(A33,4,6)</f>
        <v xml:space="preserve"> quest</v>
      </c>
      <c r="F33" s="144"/>
      <c r="G33" s="145"/>
      <c r="H33" s="4" t="e">
        <f t="shared" ca="1" si="0"/>
        <v>#NAME?</v>
      </c>
    </row>
    <row r="34" spans="1:8" ht="15.75" customHeight="1"/>
    <row r="35" spans="1:8" ht="15.75" customHeight="1"/>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C33:D33"/>
    <mergeCell ref="E33:G33"/>
    <mergeCell ref="A31:B31"/>
    <mergeCell ref="C31:D31"/>
    <mergeCell ref="E31:G31"/>
    <mergeCell ref="A32:B32"/>
    <mergeCell ref="C32:D32"/>
    <mergeCell ref="E32:G32"/>
    <mergeCell ref="A33:B33"/>
    <mergeCell ref="A24:B24"/>
    <mergeCell ref="C24:D24"/>
    <mergeCell ref="E24:F24"/>
    <mergeCell ref="C30:D30"/>
    <mergeCell ref="E30:G30"/>
    <mergeCell ref="A25:B25"/>
    <mergeCell ref="C25:D25"/>
    <mergeCell ref="E25:F25"/>
    <mergeCell ref="A29:B29"/>
    <mergeCell ref="C29:D29"/>
    <mergeCell ref="E29:G29"/>
    <mergeCell ref="A30:B30"/>
    <mergeCell ref="C22:D22"/>
    <mergeCell ref="E22:F22"/>
    <mergeCell ref="A22:B22"/>
    <mergeCell ref="A23:B23"/>
    <mergeCell ref="C23:D23"/>
    <mergeCell ref="E23:F23"/>
    <mergeCell ref="A1:B1"/>
    <mergeCell ref="A4:J5"/>
    <mergeCell ref="A21:B21"/>
    <mergeCell ref="C21:D21"/>
    <mergeCell ref="E21:F21"/>
  </mergeCells>
  <pageMargins left="0.7" right="0.7" top="0.75" bottom="0.75"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000"/>
  <sheetViews>
    <sheetView showGridLines="0" topLeftCell="A10" workbookViewId="0">
      <selection sqref="A1:B1"/>
    </sheetView>
  </sheetViews>
  <sheetFormatPr defaultColWidth="14.42578125" defaultRowHeight="15" customHeight="1"/>
  <cols>
    <col min="1" max="2" width="12.7109375" customWidth="1"/>
    <col min="3" max="3" width="10.140625" customWidth="1"/>
    <col min="4" max="4" width="15.5703125" customWidth="1"/>
    <col min="5" max="5" width="12.28515625" customWidth="1"/>
    <col min="6" max="6" width="8.7109375" customWidth="1"/>
    <col min="7" max="7" width="13.5703125" customWidth="1"/>
    <col min="8" max="8" width="11.5703125" customWidth="1"/>
    <col min="9" max="9" width="10.140625" customWidth="1"/>
    <col min="10" max="10" width="12.140625" customWidth="1"/>
    <col min="11" max="11" width="11.28515625" customWidth="1"/>
    <col min="12" max="12" width="10.140625" customWidth="1"/>
  </cols>
  <sheetData>
    <row r="1" spans="1:12" ht="31.5">
      <c r="A1" s="161" t="s">
        <v>376</v>
      </c>
      <c r="B1" s="149"/>
      <c r="C1" s="31"/>
      <c r="D1" s="2"/>
      <c r="E1" s="2"/>
      <c r="F1" s="2"/>
      <c r="G1" s="2"/>
      <c r="H1" s="2"/>
      <c r="I1" s="2"/>
      <c r="J1" s="2"/>
      <c r="K1" s="2"/>
      <c r="L1" s="2"/>
    </row>
    <row r="3" spans="1:12" ht="18.75">
      <c r="A3" s="3" t="s">
        <v>1</v>
      </c>
    </row>
    <row r="4" spans="1:12" ht="15" customHeight="1">
      <c r="A4" s="162" t="s">
        <v>377</v>
      </c>
      <c r="B4" s="142"/>
      <c r="C4" s="142"/>
      <c r="D4" s="142"/>
      <c r="E4" s="142"/>
      <c r="F4" s="142"/>
      <c r="G4" s="142"/>
      <c r="H4" s="142"/>
      <c r="I4" s="142"/>
      <c r="J4" s="142"/>
    </row>
    <row r="5" spans="1:12" ht="15" customHeight="1">
      <c r="A5" s="142"/>
      <c r="B5" s="142"/>
      <c r="C5" s="142"/>
      <c r="D5" s="142"/>
      <c r="E5" s="142"/>
      <c r="F5" s="142"/>
      <c r="G5" s="142"/>
      <c r="H5" s="142"/>
      <c r="I5" s="142"/>
      <c r="J5" s="142"/>
    </row>
    <row r="6" spans="1:12">
      <c r="A6" s="35"/>
      <c r="B6" s="32"/>
      <c r="C6" s="32"/>
      <c r="D6" s="32"/>
      <c r="E6" s="32"/>
      <c r="F6" s="32"/>
      <c r="G6" s="32"/>
      <c r="H6" s="36"/>
      <c r="I6" s="36"/>
      <c r="J6" s="32"/>
    </row>
    <row r="7" spans="1:12" ht="18.75">
      <c r="A7" s="3" t="s">
        <v>3</v>
      </c>
    </row>
    <row r="8" spans="1:12" ht="15.75">
      <c r="A8" s="5" t="s">
        <v>378</v>
      </c>
    </row>
    <row r="10" spans="1:12" ht="15.75">
      <c r="A10" s="6" t="s">
        <v>379</v>
      </c>
    </row>
    <row r="11" spans="1:12">
      <c r="A11" s="4" t="s">
        <v>380</v>
      </c>
    </row>
    <row r="13" spans="1:12" ht="15.75">
      <c r="A13" s="6" t="s">
        <v>381</v>
      </c>
    </row>
    <row r="14" spans="1:12">
      <c r="A14" s="4" t="s">
        <v>382</v>
      </c>
    </row>
    <row r="16" spans="1:12" ht="15.75">
      <c r="A16" s="6" t="s">
        <v>383</v>
      </c>
    </row>
    <row r="17" spans="1:7">
      <c r="A17" s="4" t="s">
        <v>384</v>
      </c>
    </row>
    <row r="19" spans="1:7" ht="15.75">
      <c r="A19" s="6" t="s">
        <v>11</v>
      </c>
    </row>
    <row r="20" spans="1:7">
      <c r="A20" s="34" t="s">
        <v>385</v>
      </c>
    </row>
    <row r="21" spans="1:7" ht="15.75" customHeight="1">
      <c r="A21" s="8" t="s">
        <v>379</v>
      </c>
      <c r="B21" s="8" t="s">
        <v>381</v>
      </c>
      <c r="C21" s="8" t="s">
        <v>383</v>
      </c>
      <c r="D21" s="8" t="s">
        <v>49</v>
      </c>
      <c r="E21" s="143" t="s">
        <v>16</v>
      </c>
      <c r="F21" s="144"/>
      <c r="G21" s="145"/>
    </row>
    <row r="22" spans="1:7" ht="15.75" customHeight="1">
      <c r="A22" s="9">
        <v>2017</v>
      </c>
      <c r="B22" s="9">
        <v>12</v>
      </c>
      <c r="C22" s="9">
        <v>31</v>
      </c>
      <c r="D22" s="24">
        <f t="shared" ref="D22:D25" si="0">DATE(A22,B22,C22)</f>
        <v>43100</v>
      </c>
      <c r="E22" s="146" t="s">
        <v>386</v>
      </c>
      <c r="F22" s="144"/>
      <c r="G22" s="145"/>
    </row>
    <row r="23" spans="1:7" ht="15" customHeight="1">
      <c r="A23" s="9">
        <v>2016</v>
      </c>
      <c r="B23" s="9">
        <v>11</v>
      </c>
      <c r="C23" s="9">
        <v>30</v>
      </c>
      <c r="D23" s="24">
        <f t="shared" si="0"/>
        <v>42704</v>
      </c>
      <c r="E23" s="146" t="s">
        <v>387</v>
      </c>
      <c r="F23" s="144"/>
      <c r="G23" s="145"/>
    </row>
    <row r="24" spans="1:7" ht="15.75" customHeight="1">
      <c r="A24" s="9">
        <v>2015</v>
      </c>
      <c r="B24" s="9">
        <v>3</v>
      </c>
      <c r="C24" s="9">
        <v>1</v>
      </c>
      <c r="D24" s="24">
        <f t="shared" si="0"/>
        <v>42064</v>
      </c>
      <c r="E24" s="146" t="s">
        <v>388</v>
      </c>
      <c r="F24" s="144"/>
      <c r="G24" s="145"/>
    </row>
    <row r="25" spans="1:7" ht="15.75" customHeight="1">
      <c r="A25" s="9">
        <v>2014</v>
      </c>
      <c r="B25" s="9">
        <v>8</v>
      </c>
      <c r="C25" s="9">
        <v>1</v>
      </c>
      <c r="D25" s="24">
        <f t="shared" si="0"/>
        <v>41852</v>
      </c>
      <c r="E25" s="146" t="s">
        <v>389</v>
      </c>
      <c r="F25" s="144"/>
      <c r="G25" s="145"/>
    </row>
    <row r="26" spans="1:7" ht="15.75" customHeight="1">
      <c r="A26" s="30"/>
      <c r="B26" s="30"/>
      <c r="C26" s="30"/>
      <c r="D26" s="30"/>
    </row>
    <row r="27" spans="1:7" ht="15.75" customHeight="1">
      <c r="A27" s="6" t="s">
        <v>289</v>
      </c>
    </row>
    <row r="28" spans="1:7" ht="15.75" customHeight="1">
      <c r="A28" s="34" t="s">
        <v>390</v>
      </c>
    </row>
    <row r="29" spans="1:7" ht="15.75" customHeight="1">
      <c r="A29" s="8" t="s">
        <v>379</v>
      </c>
      <c r="B29" s="8" t="s">
        <v>381</v>
      </c>
      <c r="C29" s="8" t="s">
        <v>383</v>
      </c>
      <c r="D29" s="143" t="s">
        <v>16</v>
      </c>
      <c r="E29" s="144"/>
      <c r="F29" s="145"/>
    </row>
    <row r="30" spans="1:7" ht="15.75" customHeight="1">
      <c r="A30" s="9">
        <v>2012</v>
      </c>
      <c r="B30" s="9">
        <v>7</v>
      </c>
      <c r="C30" s="9">
        <v>31</v>
      </c>
      <c r="D30" s="166">
        <f t="shared" ref="D30:D33" si="1">DATE(A30,B30,C30)</f>
        <v>41121</v>
      </c>
      <c r="E30" s="144"/>
      <c r="F30" s="145"/>
      <c r="G30" s="4" t="e">
        <f t="shared" ref="G30:G33" ca="1" si="2">_xludf.FORMULATEXT(D30)</f>
        <v>#NAME?</v>
      </c>
    </row>
    <row r="31" spans="1:7" ht="15" customHeight="1">
      <c r="A31" s="9">
        <v>2011</v>
      </c>
      <c r="B31" s="9">
        <v>1</v>
      </c>
      <c r="C31" s="9">
        <v>30</v>
      </c>
      <c r="D31" s="166">
        <f t="shared" si="1"/>
        <v>40573</v>
      </c>
      <c r="E31" s="144"/>
      <c r="F31" s="145"/>
      <c r="G31" s="4" t="e">
        <f t="shared" ca="1" si="2"/>
        <v>#NAME?</v>
      </c>
    </row>
    <row r="32" spans="1:7" ht="15.75" customHeight="1">
      <c r="A32" s="9">
        <v>2010</v>
      </c>
      <c r="B32" s="9">
        <v>2</v>
      </c>
      <c r="C32" s="9">
        <v>1</v>
      </c>
      <c r="D32" s="166">
        <f t="shared" si="1"/>
        <v>40210</v>
      </c>
      <c r="E32" s="144"/>
      <c r="F32" s="145"/>
      <c r="G32" s="4" t="e">
        <f t="shared" ca="1" si="2"/>
        <v>#NAME?</v>
      </c>
    </row>
    <row r="33" spans="1:7" ht="15.75" customHeight="1">
      <c r="A33" s="9">
        <v>2000</v>
      </c>
      <c r="B33" s="9">
        <v>5</v>
      </c>
      <c r="C33" s="9">
        <v>25</v>
      </c>
      <c r="D33" s="166">
        <f t="shared" si="1"/>
        <v>36671</v>
      </c>
      <c r="E33" s="144"/>
      <c r="F33" s="145"/>
      <c r="G33" s="4" t="e">
        <f t="shared" ca="1" si="2"/>
        <v>#NAME?</v>
      </c>
    </row>
    <row r="34" spans="1:7" ht="15.75" customHeight="1"/>
    <row r="35" spans="1:7" ht="15.75" customHeight="1">
      <c r="A35" s="6" t="s">
        <v>292</v>
      </c>
    </row>
    <row r="36" spans="1:7" ht="15.75" customHeight="1">
      <c r="A36" s="34" t="s">
        <v>391</v>
      </c>
    </row>
    <row r="37" spans="1:7" ht="15.75" customHeight="1">
      <c r="A37" s="8" t="s">
        <v>113</v>
      </c>
      <c r="B37" s="8" t="s">
        <v>379</v>
      </c>
      <c r="C37" s="8" t="s">
        <v>381</v>
      </c>
      <c r="D37" s="8" t="s">
        <v>383</v>
      </c>
      <c r="E37" s="8" t="s">
        <v>392</v>
      </c>
    </row>
    <row r="38" spans="1:7" ht="15.75" customHeight="1">
      <c r="A38" s="9">
        <v>21122016</v>
      </c>
      <c r="B38" s="37" t="str">
        <f t="shared" ref="B38:B41" si="3">RIGHT(A38,4)</f>
        <v>2016</v>
      </c>
      <c r="C38" s="37" t="str">
        <f t="shared" ref="C38:C41" si="4">MID(A38, 3, 2)</f>
        <v>12</v>
      </c>
      <c r="D38" s="37" t="str">
        <f t="shared" ref="D38:D41" si="5">LEFT(A38, 2)</f>
        <v>21</v>
      </c>
      <c r="E38" s="24">
        <f t="shared" ref="E38:E41" si="6">DATE(D38,C38,D38)</f>
        <v>8026</v>
      </c>
    </row>
    <row r="39" spans="1:7" ht="15.75" customHeight="1">
      <c r="A39" s="9">
        <v>13122000</v>
      </c>
      <c r="B39" s="37" t="str">
        <f t="shared" si="3"/>
        <v>2000</v>
      </c>
      <c r="C39" s="37" t="str">
        <f t="shared" si="4"/>
        <v>12</v>
      </c>
      <c r="D39" s="37" t="str">
        <f t="shared" si="5"/>
        <v>13</v>
      </c>
      <c r="E39" s="24">
        <f t="shared" si="6"/>
        <v>5096</v>
      </c>
    </row>
    <row r="40" spans="1:7" ht="15.75" customHeight="1">
      <c r="A40" s="9">
        <v>15011999</v>
      </c>
      <c r="B40" s="37" t="str">
        <f t="shared" si="3"/>
        <v>1999</v>
      </c>
      <c r="C40" s="37" t="str">
        <f t="shared" si="4"/>
        <v>01</v>
      </c>
      <c r="D40" s="37" t="str">
        <f t="shared" si="5"/>
        <v>15</v>
      </c>
      <c r="E40" s="24">
        <f t="shared" si="6"/>
        <v>5494</v>
      </c>
    </row>
    <row r="41" spans="1:7" ht="15.75" customHeight="1">
      <c r="A41" s="9">
        <v>10102010</v>
      </c>
      <c r="B41" s="37" t="str">
        <f t="shared" si="3"/>
        <v>2010</v>
      </c>
      <c r="C41" s="37" t="str">
        <f t="shared" si="4"/>
        <v>10</v>
      </c>
      <c r="D41" s="37" t="str">
        <f t="shared" si="5"/>
        <v>10</v>
      </c>
      <c r="E41" s="24">
        <f t="shared" si="6"/>
        <v>3936</v>
      </c>
    </row>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24:G24"/>
    <mergeCell ref="E25:G25"/>
    <mergeCell ref="A1:B1"/>
    <mergeCell ref="A4:J5"/>
    <mergeCell ref="E21:G21"/>
    <mergeCell ref="E22:G22"/>
    <mergeCell ref="E23:G23"/>
    <mergeCell ref="D29:F29"/>
    <mergeCell ref="D30:F30"/>
    <mergeCell ref="D31:F31"/>
    <mergeCell ref="D32:F32"/>
    <mergeCell ref="D33:F33"/>
  </mergeCells>
  <pageMargins left="0.7" right="0.7" top="0.75" bottom="0.75"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00"/>
  <sheetViews>
    <sheetView showGridLines="0" workbookViewId="0">
      <selection sqref="A1:B1"/>
    </sheetView>
  </sheetViews>
  <sheetFormatPr defaultColWidth="14.42578125" defaultRowHeight="15" customHeight="1"/>
  <cols>
    <col min="1" max="2" width="12.7109375" customWidth="1"/>
    <col min="3" max="3" width="10.140625" customWidth="1"/>
    <col min="4" max="4" width="12.28515625" customWidth="1"/>
    <col min="5" max="5" width="8.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393</v>
      </c>
      <c r="B1" s="149"/>
      <c r="C1" s="31"/>
      <c r="D1" s="2"/>
      <c r="E1" s="2"/>
      <c r="F1" s="2"/>
      <c r="G1" s="2"/>
      <c r="H1" s="2"/>
      <c r="I1" s="2"/>
      <c r="J1" s="2"/>
      <c r="K1" s="2"/>
    </row>
    <row r="3" spans="1:11" ht="18.75">
      <c r="A3" s="3" t="s">
        <v>1</v>
      </c>
    </row>
    <row r="4" spans="1:11" ht="15" customHeight="1">
      <c r="A4" s="162" t="s">
        <v>394</v>
      </c>
      <c r="B4" s="142"/>
      <c r="C4" s="142"/>
      <c r="D4" s="142"/>
      <c r="E4" s="142"/>
      <c r="F4" s="142"/>
      <c r="G4" s="142"/>
      <c r="H4" s="142"/>
      <c r="I4" s="142"/>
    </row>
    <row r="5" spans="1:11">
      <c r="A5" s="35"/>
      <c r="B5" s="32"/>
      <c r="C5" s="32"/>
      <c r="D5" s="32"/>
      <c r="E5" s="32"/>
      <c r="F5" s="32"/>
      <c r="G5" s="36"/>
      <c r="H5" s="36"/>
      <c r="I5" s="32"/>
    </row>
    <row r="6" spans="1:11" ht="18.75">
      <c r="A6" s="3" t="s">
        <v>3</v>
      </c>
    </row>
    <row r="7" spans="1:11" ht="15.75">
      <c r="A7" s="5" t="s">
        <v>395</v>
      </c>
    </row>
    <row r="9" spans="1:11" ht="15.75">
      <c r="A9" s="6" t="s">
        <v>396</v>
      </c>
    </row>
    <row r="10" spans="1:11">
      <c r="A10" s="4" t="s">
        <v>397</v>
      </c>
    </row>
    <row r="12" spans="1:11" ht="15.75">
      <c r="A12" s="6" t="s">
        <v>11</v>
      </c>
    </row>
    <row r="13" spans="1:11">
      <c r="A13" s="34" t="s">
        <v>385</v>
      </c>
    </row>
    <row r="14" spans="1:11">
      <c r="A14" s="8" t="s">
        <v>398</v>
      </c>
      <c r="B14" s="8" t="s">
        <v>49</v>
      </c>
      <c r="C14" s="143" t="s">
        <v>16</v>
      </c>
      <c r="D14" s="145"/>
    </row>
    <row r="15" spans="1:11">
      <c r="A15" s="38" t="s">
        <v>399</v>
      </c>
      <c r="B15" s="9">
        <f t="shared" ref="B15:B18" si="0">DATEVALUE(A15)</f>
        <v>42860</v>
      </c>
      <c r="C15" s="146" t="s">
        <v>400</v>
      </c>
      <c r="D15" s="145"/>
    </row>
    <row r="16" spans="1:11" ht="15" customHeight="1">
      <c r="A16" s="38" t="s">
        <v>401</v>
      </c>
      <c r="B16" s="9">
        <f t="shared" si="0"/>
        <v>43436</v>
      </c>
      <c r="C16" s="146" t="s">
        <v>402</v>
      </c>
      <c r="D16" s="145"/>
    </row>
    <row r="17" spans="1:4">
      <c r="A17" s="38" t="s">
        <v>403</v>
      </c>
      <c r="B17" s="9">
        <f t="shared" si="0"/>
        <v>42064</v>
      </c>
      <c r="C17" s="146" t="s">
        <v>404</v>
      </c>
      <c r="D17" s="145"/>
    </row>
    <row r="18" spans="1:4">
      <c r="A18" s="38" t="s">
        <v>405</v>
      </c>
      <c r="B18" s="9">
        <f t="shared" si="0"/>
        <v>41853</v>
      </c>
      <c r="C18" s="146" t="s">
        <v>406</v>
      </c>
      <c r="D18" s="145"/>
    </row>
    <row r="19" spans="1:4">
      <c r="A19" s="30"/>
      <c r="B19" s="30"/>
      <c r="C19" s="30"/>
    </row>
    <row r="20" spans="1:4" ht="15.75">
      <c r="A20" s="6" t="s">
        <v>27</v>
      </c>
    </row>
    <row r="21" spans="1:4" ht="15.75" customHeight="1">
      <c r="A21" s="34" t="s">
        <v>407</v>
      </c>
    </row>
    <row r="22" spans="1:4" ht="15.75" customHeight="1">
      <c r="A22" s="8" t="s">
        <v>398</v>
      </c>
      <c r="B22" s="143" t="s">
        <v>49</v>
      </c>
      <c r="C22" s="145"/>
    </row>
    <row r="23" spans="1:4" ht="15.75" customHeight="1">
      <c r="A23" s="38" t="s">
        <v>408</v>
      </c>
      <c r="B23" s="166">
        <f t="shared" ref="B23:B26" si="1">DATEVALUE(A23)</f>
        <v>42369</v>
      </c>
      <c r="C23" s="145"/>
    </row>
    <row r="24" spans="1:4" ht="15" customHeight="1">
      <c r="A24" s="38" t="s">
        <v>409</v>
      </c>
      <c r="B24" s="166">
        <f t="shared" si="1"/>
        <v>40181</v>
      </c>
      <c r="C24" s="145"/>
    </row>
    <row r="25" spans="1:4" ht="15.75" customHeight="1">
      <c r="A25" s="38" t="s">
        <v>410</v>
      </c>
      <c r="B25" s="166">
        <f t="shared" si="1"/>
        <v>42349</v>
      </c>
      <c r="C25" s="145"/>
    </row>
    <row r="26" spans="1:4" ht="15.75" customHeight="1">
      <c r="A26" s="38" t="s">
        <v>411</v>
      </c>
      <c r="B26" s="166">
        <f t="shared" si="1"/>
        <v>41640</v>
      </c>
      <c r="C26" s="145"/>
    </row>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17:D17"/>
    <mergeCell ref="C18:D18"/>
    <mergeCell ref="A1:B1"/>
    <mergeCell ref="A4:I4"/>
    <mergeCell ref="C14:D14"/>
    <mergeCell ref="C15:D15"/>
    <mergeCell ref="C16:D16"/>
    <mergeCell ref="B22:C22"/>
    <mergeCell ref="B23:C23"/>
    <mergeCell ref="B24:C24"/>
    <mergeCell ref="B25:C25"/>
    <mergeCell ref="B26:C26"/>
  </mergeCells>
  <pageMargins left="0.7" right="0.7" top="0.75" bottom="0.75" header="0" footer="0"/>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000"/>
  <sheetViews>
    <sheetView showGridLines="0" workbookViewId="0">
      <selection sqref="A1:B1"/>
    </sheetView>
  </sheetViews>
  <sheetFormatPr defaultColWidth="14.42578125" defaultRowHeight="15" customHeight="1"/>
  <cols>
    <col min="1" max="2" width="12.7109375" customWidth="1"/>
    <col min="3" max="3" width="10.140625" customWidth="1"/>
    <col min="4" max="4" width="12.28515625" customWidth="1"/>
    <col min="5" max="5" width="8.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412</v>
      </c>
      <c r="B1" s="149"/>
      <c r="C1" s="31"/>
      <c r="D1" s="2"/>
      <c r="E1" s="2"/>
      <c r="F1" s="2"/>
      <c r="G1" s="2"/>
      <c r="H1" s="2"/>
      <c r="I1" s="2"/>
      <c r="J1" s="2"/>
      <c r="K1" s="2"/>
    </row>
    <row r="3" spans="1:11" ht="18.75">
      <c r="A3" s="3" t="s">
        <v>1</v>
      </c>
    </row>
    <row r="4" spans="1:11" ht="15" customHeight="1">
      <c r="A4" s="162" t="s">
        <v>413</v>
      </c>
      <c r="B4" s="142"/>
      <c r="C4" s="142"/>
      <c r="D4" s="142"/>
      <c r="E4" s="142"/>
      <c r="F4" s="142"/>
      <c r="G4" s="142"/>
      <c r="H4" s="142"/>
      <c r="I4" s="142"/>
    </row>
    <row r="5" spans="1:11">
      <c r="A5" s="35"/>
      <c r="B5" s="32"/>
      <c r="C5" s="32"/>
      <c r="D5" s="32"/>
      <c r="E5" s="32"/>
      <c r="F5" s="32"/>
      <c r="G5" s="36"/>
      <c r="H5" s="36"/>
      <c r="I5" s="32"/>
    </row>
    <row r="6" spans="1:11" ht="18.75">
      <c r="A6" s="3" t="s">
        <v>3</v>
      </c>
    </row>
    <row r="7" spans="1:11" ht="15.75">
      <c r="A7" s="5" t="s">
        <v>414</v>
      </c>
    </row>
    <row r="9" spans="1:11" ht="15.75">
      <c r="A9" s="6" t="s">
        <v>415</v>
      </c>
    </row>
    <row r="10" spans="1:11">
      <c r="A10" s="4" t="s">
        <v>416</v>
      </c>
    </row>
    <row r="12" spans="1:11" ht="15.75">
      <c r="A12" s="6" t="s">
        <v>11</v>
      </c>
    </row>
    <row r="13" spans="1:11">
      <c r="A13" s="34" t="s">
        <v>417</v>
      </c>
    </row>
    <row r="14" spans="1:11">
      <c r="A14" s="8" t="s">
        <v>49</v>
      </c>
      <c r="B14" s="143" t="s">
        <v>16</v>
      </c>
      <c r="C14" s="145"/>
    </row>
    <row r="15" spans="1:11">
      <c r="A15" s="24">
        <f ca="1">TODAY()</f>
        <v>46079</v>
      </c>
      <c r="B15" s="146" t="s">
        <v>414</v>
      </c>
      <c r="C15" s="145"/>
    </row>
    <row r="16" spans="1:11">
      <c r="A16" s="24">
        <f ca="1">TODAY()-5</f>
        <v>46074</v>
      </c>
      <c r="B16" s="146" t="s">
        <v>418</v>
      </c>
      <c r="C16" s="145"/>
    </row>
    <row r="17" spans="1:4">
      <c r="A17" s="30"/>
      <c r="B17" s="30"/>
      <c r="C17" s="30"/>
    </row>
    <row r="18" spans="1:4" ht="15.75">
      <c r="A18" s="6" t="s">
        <v>27</v>
      </c>
    </row>
    <row r="19" spans="1:4">
      <c r="A19" s="34" t="s">
        <v>419</v>
      </c>
    </row>
    <row r="20" spans="1:4">
      <c r="A20" s="8" t="s">
        <v>113</v>
      </c>
      <c r="B20" s="143" t="s">
        <v>49</v>
      </c>
      <c r="C20" s="145"/>
    </row>
    <row r="21" spans="1:4" ht="15.75" customHeight="1">
      <c r="A21" s="39">
        <v>42369</v>
      </c>
      <c r="B21" s="166">
        <f t="shared" ref="B21:B24" ca="1" si="0">TODAY()-A21</f>
        <v>3710</v>
      </c>
      <c r="C21" s="145"/>
      <c r="D21" s="4" t="e">
        <f t="shared" ref="D21:D24" ca="1" si="1">_xludf.FORMULATEXT(B21)</f>
        <v>#NAME?</v>
      </c>
    </row>
    <row r="22" spans="1:4" ht="15" customHeight="1">
      <c r="A22" s="39">
        <v>40181</v>
      </c>
      <c r="B22" s="166">
        <f t="shared" ca="1" si="0"/>
        <v>5898</v>
      </c>
      <c r="C22" s="145"/>
      <c r="D22" s="4" t="e">
        <f t="shared" ca="1" si="1"/>
        <v>#NAME?</v>
      </c>
    </row>
    <row r="23" spans="1:4" ht="15.75" customHeight="1">
      <c r="A23" s="39">
        <v>42349</v>
      </c>
      <c r="B23" s="166">
        <f t="shared" ca="1" si="0"/>
        <v>3730</v>
      </c>
      <c r="C23" s="145"/>
      <c r="D23" s="4" t="e">
        <f t="shared" ca="1" si="1"/>
        <v>#NAME?</v>
      </c>
    </row>
    <row r="24" spans="1:4" ht="15.75" customHeight="1">
      <c r="A24" s="39">
        <v>41640</v>
      </c>
      <c r="B24" s="166">
        <f t="shared" ca="1" si="0"/>
        <v>4439</v>
      </c>
      <c r="C24" s="145"/>
      <c r="D24" s="4" t="e">
        <f t="shared" ca="1" si="1"/>
        <v>#NAME?</v>
      </c>
    </row>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22:C22"/>
    <mergeCell ref="B23:C23"/>
    <mergeCell ref="B24:C24"/>
    <mergeCell ref="A1:B1"/>
    <mergeCell ref="A4:I4"/>
    <mergeCell ref="B14:C14"/>
    <mergeCell ref="B15:C15"/>
    <mergeCell ref="B16:C16"/>
    <mergeCell ref="B20:C20"/>
    <mergeCell ref="B21:C21"/>
  </mergeCells>
  <pageMargins left="0.7" right="0.7" top="0.75" bottom="0.75" header="0" footer="0"/>
  <pageSetup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000"/>
  <sheetViews>
    <sheetView showGridLines="0" workbookViewId="0">
      <selection sqref="A1:B1"/>
    </sheetView>
  </sheetViews>
  <sheetFormatPr defaultColWidth="14.42578125" defaultRowHeight="15" customHeight="1"/>
  <cols>
    <col min="1" max="1" width="12.85546875" customWidth="1"/>
    <col min="2" max="2" width="12.7109375" customWidth="1"/>
    <col min="3" max="3" width="10.140625" customWidth="1"/>
    <col min="4" max="5" width="17.14062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420</v>
      </c>
      <c r="B1" s="149"/>
      <c r="C1" s="31"/>
      <c r="D1" s="2"/>
      <c r="E1" s="2"/>
      <c r="F1" s="2"/>
      <c r="G1" s="2"/>
      <c r="H1" s="2"/>
      <c r="I1" s="2"/>
      <c r="J1" s="2"/>
      <c r="K1" s="2"/>
    </row>
    <row r="3" spans="1:11" ht="18.75">
      <c r="A3" s="3" t="s">
        <v>1</v>
      </c>
    </row>
    <row r="4" spans="1:11" ht="15" customHeight="1">
      <c r="A4" s="162" t="s">
        <v>421</v>
      </c>
      <c r="B4" s="142"/>
      <c r="C4" s="142"/>
      <c r="D4" s="142"/>
      <c r="E4" s="142"/>
      <c r="F4" s="142"/>
      <c r="G4" s="142"/>
      <c r="H4" s="142"/>
      <c r="I4" s="142"/>
    </row>
    <row r="5" spans="1:11">
      <c r="A5" s="35"/>
      <c r="B5" s="32"/>
      <c r="C5" s="32"/>
      <c r="D5" s="32"/>
      <c r="E5" s="32"/>
      <c r="F5" s="32"/>
      <c r="G5" s="36"/>
      <c r="H5" s="36"/>
      <c r="I5" s="32"/>
    </row>
    <row r="6" spans="1:11" ht="18.75">
      <c r="A6" s="3" t="s">
        <v>3</v>
      </c>
    </row>
    <row r="7" spans="1:11" ht="15.75">
      <c r="A7" s="5" t="s">
        <v>422</v>
      </c>
    </row>
    <row r="9" spans="1:11" ht="15.75">
      <c r="A9" s="6" t="s">
        <v>415</v>
      </c>
    </row>
    <row r="10" spans="1:11">
      <c r="A10" s="4" t="s">
        <v>416</v>
      </c>
    </row>
    <row r="12" spans="1:11" ht="15.75">
      <c r="A12" s="6" t="s">
        <v>11</v>
      </c>
    </row>
    <row r="13" spans="1:11">
      <c r="A13" s="34" t="s">
        <v>423</v>
      </c>
    </row>
    <row r="14" spans="1:11">
      <c r="A14" s="143" t="s">
        <v>49</v>
      </c>
      <c r="B14" s="145"/>
      <c r="C14" s="143" t="s">
        <v>16</v>
      </c>
      <c r="D14" s="145"/>
    </row>
    <row r="15" spans="1:11">
      <c r="A15" s="167">
        <f ca="1">NOW()</f>
        <v>46079.929476967591</v>
      </c>
      <c r="B15" s="145"/>
      <c r="C15" s="146" t="s">
        <v>422</v>
      </c>
      <c r="D15" s="145"/>
      <c r="E15" s="40"/>
    </row>
    <row r="16" spans="1:11">
      <c r="A16" s="167">
        <f ca="1">NOW()-5</f>
        <v>46074.929476967591</v>
      </c>
      <c r="B16" s="145"/>
      <c r="C16" s="146" t="s">
        <v>424</v>
      </c>
      <c r="D16" s="145"/>
      <c r="E16" s="40"/>
    </row>
    <row r="17" spans="1:6">
      <c r="A17" s="30"/>
      <c r="B17" s="30"/>
      <c r="C17" s="30"/>
    </row>
    <row r="18" spans="1:6" ht="15.75">
      <c r="A18" s="6" t="s">
        <v>27</v>
      </c>
    </row>
    <row r="19" spans="1:6">
      <c r="A19" s="34" t="s">
        <v>425</v>
      </c>
    </row>
    <row r="20" spans="1:6">
      <c r="A20" s="143" t="s">
        <v>113</v>
      </c>
      <c r="B20" s="144"/>
      <c r="C20" s="145"/>
      <c r="D20" s="143" t="s">
        <v>16</v>
      </c>
      <c r="E20" s="145"/>
    </row>
    <row r="21" spans="1:6" ht="15.75" customHeight="1">
      <c r="A21" s="168" t="s">
        <v>426</v>
      </c>
      <c r="B21" s="144"/>
      <c r="C21" s="145"/>
      <c r="D21" s="167">
        <f ca="1">NOW()</f>
        <v>46079.929476967591</v>
      </c>
      <c r="E21" s="145"/>
      <c r="F21" s="41" t="e">
        <f t="shared" ref="F21:F22" ca="1" si="0">_xludf.FORMULATEXT(D21)</f>
        <v>#NAME?</v>
      </c>
    </row>
    <row r="22" spans="1:6" ht="15" customHeight="1">
      <c r="A22" s="168" t="s">
        <v>427</v>
      </c>
      <c r="B22" s="144"/>
      <c r="C22" s="145"/>
      <c r="D22" s="167">
        <f ca="1">NOW()-7</f>
        <v>46072.929476967591</v>
      </c>
      <c r="E22" s="145"/>
      <c r="F22" s="41" t="e">
        <f t="shared" ca="1" si="0"/>
        <v>#NAME?</v>
      </c>
    </row>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2:C22"/>
    <mergeCell ref="D22:E22"/>
    <mergeCell ref="A1:B1"/>
    <mergeCell ref="A4:I4"/>
    <mergeCell ref="A14:B14"/>
    <mergeCell ref="C14:D14"/>
    <mergeCell ref="A15:B15"/>
    <mergeCell ref="C15:D15"/>
    <mergeCell ref="C16:D16"/>
    <mergeCell ref="A16:B16"/>
    <mergeCell ref="A20:C20"/>
    <mergeCell ref="D20:E20"/>
    <mergeCell ref="A21:C21"/>
    <mergeCell ref="D21:E21"/>
  </mergeCells>
  <pageMargins left="0.7" right="0.7" top="0.75" bottom="0.75" header="0" footer="0"/>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000"/>
  <sheetViews>
    <sheetView showGridLines="0" workbookViewId="0">
      <selection sqref="A1:B1"/>
    </sheetView>
  </sheetViews>
  <sheetFormatPr defaultColWidth="14.42578125" defaultRowHeight="15" customHeight="1"/>
  <cols>
    <col min="1" max="1" width="12.85546875" customWidth="1"/>
    <col min="2" max="2" width="12.7109375" customWidth="1"/>
    <col min="3" max="3" width="10.140625" customWidth="1"/>
    <col min="4" max="5" width="17.14062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428</v>
      </c>
      <c r="B1" s="149"/>
      <c r="C1" s="31"/>
      <c r="D1" s="2"/>
      <c r="E1" s="2"/>
      <c r="F1" s="2"/>
      <c r="G1" s="2"/>
      <c r="H1" s="2"/>
      <c r="I1" s="2"/>
      <c r="J1" s="2"/>
      <c r="K1" s="2"/>
    </row>
    <row r="3" spans="1:11" ht="18.75">
      <c r="A3" s="3" t="s">
        <v>1</v>
      </c>
    </row>
    <row r="4" spans="1:11" ht="15" customHeight="1">
      <c r="A4" s="162" t="s">
        <v>429</v>
      </c>
      <c r="B4" s="142"/>
      <c r="C4" s="142"/>
      <c r="D4" s="142"/>
      <c r="E4" s="142"/>
      <c r="F4" s="142"/>
      <c r="G4" s="142"/>
      <c r="H4" s="142"/>
      <c r="I4" s="142"/>
    </row>
    <row r="5" spans="1:11" ht="15" customHeight="1">
      <c r="A5" s="142"/>
      <c r="B5" s="142"/>
      <c r="C5" s="142"/>
      <c r="D5" s="142"/>
      <c r="E5" s="142"/>
      <c r="F5" s="142"/>
      <c r="G5" s="142"/>
      <c r="H5" s="142"/>
      <c r="I5" s="142"/>
    </row>
    <row r="6" spans="1:11">
      <c r="A6" s="32"/>
      <c r="B6" s="32"/>
      <c r="C6" s="32"/>
      <c r="D6" s="32"/>
      <c r="E6" s="32"/>
      <c r="F6" s="32"/>
      <c r="G6" s="32"/>
      <c r="H6" s="32"/>
      <c r="I6" s="32"/>
    </row>
    <row r="7" spans="1:11" ht="18.75">
      <c r="A7" s="3" t="s">
        <v>3</v>
      </c>
    </row>
    <row r="8" spans="1:11" ht="15.75">
      <c r="A8" s="5" t="s">
        <v>430</v>
      </c>
    </row>
    <row r="10" spans="1:11" ht="15.75">
      <c r="A10" s="6" t="s">
        <v>431</v>
      </c>
    </row>
    <row r="11" spans="1:11">
      <c r="A11" s="4" t="s">
        <v>432</v>
      </c>
    </row>
    <row r="13" spans="1:11" ht="15.75">
      <c r="A13" s="6" t="s">
        <v>11</v>
      </c>
    </row>
    <row r="14" spans="1:11">
      <c r="A14" s="34" t="s">
        <v>423</v>
      </c>
    </row>
    <row r="15" spans="1:11">
      <c r="A15" s="143" t="s">
        <v>113</v>
      </c>
      <c r="B15" s="145"/>
      <c r="C15" s="8" t="s">
        <v>49</v>
      </c>
      <c r="D15" s="8" t="s">
        <v>16</v>
      </c>
    </row>
    <row r="16" spans="1:11">
      <c r="A16" s="167">
        <f ca="1">NOW()</f>
        <v>46079.929476967591</v>
      </c>
      <c r="B16" s="145"/>
      <c r="C16" s="37">
        <f t="shared" ref="C16:C17" ca="1" si="0">DAY(A16)</f>
        <v>26</v>
      </c>
      <c r="D16" s="37" t="s">
        <v>433</v>
      </c>
    </row>
    <row r="17" spans="1:7">
      <c r="A17" s="167">
        <f ca="1">NOW()-5</f>
        <v>46074.929476967591</v>
      </c>
      <c r="B17" s="145"/>
      <c r="C17" s="37">
        <f t="shared" ca="1" si="0"/>
        <v>21</v>
      </c>
      <c r="D17" s="37" t="s">
        <v>434</v>
      </c>
    </row>
    <row r="18" spans="1:7">
      <c r="A18" s="30"/>
      <c r="B18" s="30"/>
      <c r="C18" s="30"/>
    </row>
    <row r="19" spans="1:7" ht="15.75">
      <c r="A19" s="6" t="s">
        <v>27</v>
      </c>
    </row>
    <row r="20" spans="1:7">
      <c r="A20" s="34" t="s">
        <v>435</v>
      </c>
    </row>
    <row r="21" spans="1:7" ht="15.75" customHeight="1">
      <c r="A21" s="143" t="s">
        <v>113</v>
      </c>
      <c r="B21" s="144"/>
      <c r="C21" s="145"/>
      <c r="D21" s="143" t="s">
        <v>436</v>
      </c>
      <c r="E21" s="145"/>
      <c r="F21" s="143" t="s">
        <v>437</v>
      </c>
      <c r="G21" s="145"/>
    </row>
    <row r="22" spans="1:7" ht="15.75" customHeight="1">
      <c r="A22" s="168" t="s">
        <v>426</v>
      </c>
      <c r="B22" s="144"/>
      <c r="C22" s="145"/>
      <c r="D22" s="167">
        <f ca="1">NOW()</f>
        <v>46079.929476967591</v>
      </c>
      <c r="E22" s="145"/>
      <c r="F22" s="166">
        <f t="shared" ref="F22:F23" si="1">DAY(B22)</f>
        <v>0</v>
      </c>
      <c r="G22" s="145"/>
    </row>
    <row r="23" spans="1:7" ht="15" customHeight="1">
      <c r="A23" s="168" t="s">
        <v>427</v>
      </c>
      <c r="B23" s="144"/>
      <c r="C23" s="145"/>
      <c r="D23" s="167">
        <f ca="1">NOW()-7</f>
        <v>46072.929476967591</v>
      </c>
      <c r="E23" s="145"/>
      <c r="F23" s="166">
        <f t="shared" si="1"/>
        <v>0</v>
      </c>
      <c r="G23" s="145"/>
    </row>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B1"/>
    <mergeCell ref="A4:I5"/>
    <mergeCell ref="A15:B15"/>
    <mergeCell ref="A16:B16"/>
    <mergeCell ref="A17:B17"/>
    <mergeCell ref="A21:C21"/>
    <mergeCell ref="A22:C22"/>
    <mergeCell ref="D22:E22"/>
    <mergeCell ref="F22:G22"/>
    <mergeCell ref="A23:C23"/>
    <mergeCell ref="D23:E23"/>
    <mergeCell ref="F23:G23"/>
    <mergeCell ref="D21:E21"/>
    <mergeCell ref="F21:G21"/>
  </mergeCells>
  <pageMargins left="0.7" right="0.7" top="0.75" bottom="0.75" header="0" footer="0"/>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000"/>
  <sheetViews>
    <sheetView showGridLines="0" workbookViewId="0">
      <selection sqref="A1:B1"/>
    </sheetView>
  </sheetViews>
  <sheetFormatPr defaultColWidth="14.42578125" defaultRowHeight="15" customHeight="1"/>
  <cols>
    <col min="1" max="1" width="12.85546875" customWidth="1"/>
    <col min="2" max="2" width="12.7109375" customWidth="1"/>
    <col min="3" max="3" width="10.140625" customWidth="1"/>
    <col min="4" max="5" width="17.14062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438</v>
      </c>
      <c r="B1" s="149"/>
      <c r="C1" s="31"/>
      <c r="D1" s="2"/>
      <c r="E1" s="2"/>
      <c r="F1" s="2"/>
      <c r="G1" s="2"/>
      <c r="H1" s="2"/>
      <c r="I1" s="2"/>
      <c r="J1" s="2"/>
      <c r="K1" s="2"/>
    </row>
    <row r="3" spans="1:11" ht="18.75">
      <c r="A3" s="3" t="s">
        <v>1</v>
      </c>
    </row>
    <row r="4" spans="1:11" ht="15" customHeight="1">
      <c r="A4" s="162" t="s">
        <v>439</v>
      </c>
      <c r="B4" s="142"/>
      <c r="C4" s="142"/>
      <c r="D4" s="142"/>
      <c r="E4" s="142"/>
      <c r="F4" s="142"/>
      <c r="G4" s="142"/>
      <c r="H4" s="142"/>
      <c r="I4" s="142"/>
    </row>
    <row r="5" spans="1:11" ht="15" customHeight="1">
      <c r="A5" s="142"/>
      <c r="B5" s="142"/>
      <c r="C5" s="142"/>
      <c r="D5" s="142"/>
      <c r="E5" s="142"/>
      <c r="F5" s="142"/>
      <c r="G5" s="142"/>
      <c r="H5" s="142"/>
      <c r="I5" s="142"/>
    </row>
    <row r="6" spans="1:11">
      <c r="A6" s="32"/>
      <c r="B6" s="32"/>
      <c r="C6" s="32"/>
      <c r="D6" s="32"/>
      <c r="E6" s="32"/>
      <c r="F6" s="32"/>
      <c r="G6" s="32"/>
      <c r="H6" s="32"/>
      <c r="I6" s="32"/>
    </row>
    <row r="7" spans="1:11" ht="18.75">
      <c r="A7" s="3" t="s">
        <v>3</v>
      </c>
    </row>
    <row r="8" spans="1:11" ht="15.75">
      <c r="A8" s="5" t="s">
        <v>440</v>
      </c>
    </row>
    <row r="10" spans="1:11" ht="15.75">
      <c r="A10" s="6" t="s">
        <v>431</v>
      </c>
    </row>
    <row r="11" spans="1:11">
      <c r="A11" s="4" t="s">
        <v>441</v>
      </c>
    </row>
    <row r="12" spans="1:11">
      <c r="A12" s="42"/>
    </row>
    <row r="13" spans="1:11" ht="15.75">
      <c r="A13" s="6" t="s">
        <v>11</v>
      </c>
    </row>
    <row r="14" spans="1:11">
      <c r="A14" s="34" t="s">
        <v>423</v>
      </c>
    </row>
    <row r="15" spans="1:11">
      <c r="A15" s="143" t="s">
        <v>113</v>
      </c>
      <c r="B15" s="145"/>
      <c r="C15" s="8" t="s">
        <v>49</v>
      </c>
      <c r="D15" s="8" t="s">
        <v>16</v>
      </c>
    </row>
    <row r="16" spans="1:11">
      <c r="A16" s="167">
        <v>42823.507711458333</v>
      </c>
      <c r="B16" s="145"/>
      <c r="C16" s="37">
        <f t="shared" ref="C16:C17" si="0">MONTH(A16)</f>
        <v>3</v>
      </c>
      <c r="D16" s="37" t="s">
        <v>442</v>
      </c>
    </row>
    <row r="17" spans="1:7">
      <c r="A17" s="167">
        <v>42788.507711458333</v>
      </c>
      <c r="B17" s="145"/>
      <c r="C17" s="37">
        <f t="shared" si="0"/>
        <v>2</v>
      </c>
      <c r="D17" s="37" t="s">
        <v>443</v>
      </c>
    </row>
    <row r="18" spans="1:7">
      <c r="A18" s="30"/>
      <c r="B18" s="30"/>
      <c r="C18" s="30"/>
    </row>
    <row r="19" spans="1:7" ht="15.75">
      <c r="A19" s="6" t="s">
        <v>27</v>
      </c>
    </row>
    <row r="20" spans="1:7">
      <c r="A20" s="34" t="s">
        <v>444</v>
      </c>
    </row>
    <row r="21" spans="1:7" ht="15.75" customHeight="1">
      <c r="A21" s="143" t="s">
        <v>113</v>
      </c>
      <c r="B21" s="144"/>
      <c r="C21" s="145"/>
      <c r="D21" s="143" t="s">
        <v>436</v>
      </c>
      <c r="E21" s="145"/>
      <c r="F21" s="143" t="s">
        <v>445</v>
      </c>
      <c r="G21" s="145"/>
    </row>
    <row r="22" spans="1:7" ht="15.75" customHeight="1">
      <c r="A22" s="168" t="s">
        <v>426</v>
      </c>
      <c r="B22" s="144"/>
      <c r="C22" s="145"/>
      <c r="D22" s="167">
        <f ca="1">NOW()</f>
        <v>46079.929476967591</v>
      </c>
      <c r="E22" s="145"/>
      <c r="F22" s="166">
        <f t="shared" ref="F22:F23" si="1">MONTH(B22)</f>
        <v>1</v>
      </c>
      <c r="G22" s="145"/>
    </row>
    <row r="23" spans="1:7" ht="15" customHeight="1">
      <c r="A23" s="168" t="s">
        <v>446</v>
      </c>
      <c r="B23" s="144"/>
      <c r="C23" s="145"/>
      <c r="D23" s="167">
        <f ca="1">NOW()-30</f>
        <v>46049.929476967591</v>
      </c>
      <c r="E23" s="145"/>
      <c r="F23" s="166">
        <f t="shared" si="1"/>
        <v>1</v>
      </c>
      <c r="G23" s="145"/>
    </row>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B1"/>
    <mergeCell ref="A4:I5"/>
    <mergeCell ref="A15:B15"/>
    <mergeCell ref="A16:B16"/>
    <mergeCell ref="A17:B17"/>
    <mergeCell ref="A21:C21"/>
    <mergeCell ref="A22:C22"/>
    <mergeCell ref="D22:E22"/>
    <mergeCell ref="F22:G22"/>
    <mergeCell ref="A23:C23"/>
    <mergeCell ref="D23:E23"/>
    <mergeCell ref="F23:G23"/>
    <mergeCell ref="D21:E21"/>
    <mergeCell ref="F21:G21"/>
  </mergeCells>
  <pageMargins left="0.7" right="0.7" top="0.75" bottom="0.75" header="0" footer="0"/>
  <pageSetup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000"/>
  <sheetViews>
    <sheetView showGridLines="0" workbookViewId="0">
      <selection sqref="A1:B1"/>
    </sheetView>
  </sheetViews>
  <sheetFormatPr defaultColWidth="14.42578125" defaultRowHeight="15" customHeight="1"/>
  <cols>
    <col min="1" max="1" width="12.85546875" customWidth="1"/>
    <col min="2" max="2" width="12.7109375" customWidth="1"/>
    <col min="3" max="3" width="10.140625" customWidth="1"/>
    <col min="4" max="5" width="17.14062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447</v>
      </c>
      <c r="B1" s="149"/>
      <c r="C1" s="31"/>
      <c r="D1" s="2"/>
      <c r="E1" s="2"/>
      <c r="F1" s="2"/>
      <c r="G1" s="2"/>
      <c r="H1" s="2"/>
      <c r="I1" s="2"/>
      <c r="J1" s="2"/>
      <c r="K1" s="2"/>
    </row>
    <row r="3" spans="1:11" ht="18.75">
      <c r="A3" s="3" t="s">
        <v>1</v>
      </c>
    </row>
    <row r="4" spans="1:11" ht="15" customHeight="1">
      <c r="A4" s="162" t="s">
        <v>448</v>
      </c>
      <c r="B4" s="142"/>
      <c r="C4" s="142"/>
      <c r="D4" s="142"/>
      <c r="E4" s="142"/>
      <c r="F4" s="142"/>
      <c r="G4" s="142"/>
      <c r="H4" s="142"/>
      <c r="I4" s="142"/>
    </row>
    <row r="5" spans="1:11" ht="15" customHeight="1">
      <c r="A5" s="142"/>
      <c r="B5" s="142"/>
      <c r="C5" s="142"/>
      <c r="D5" s="142"/>
      <c r="E5" s="142"/>
      <c r="F5" s="142"/>
      <c r="G5" s="142"/>
      <c r="H5" s="142"/>
      <c r="I5" s="142"/>
    </row>
    <row r="6" spans="1:11">
      <c r="A6" s="32"/>
      <c r="B6" s="32"/>
      <c r="C6" s="32"/>
      <c r="D6" s="32"/>
      <c r="E6" s="32"/>
      <c r="F6" s="32"/>
      <c r="G6" s="32"/>
      <c r="H6" s="32"/>
      <c r="I6" s="32"/>
    </row>
    <row r="7" spans="1:11" ht="18.75">
      <c r="A7" s="3" t="s">
        <v>3</v>
      </c>
    </row>
    <row r="8" spans="1:11" ht="15.75">
      <c r="A8" s="5" t="s">
        <v>449</v>
      </c>
    </row>
    <row r="10" spans="1:11" ht="15.75">
      <c r="A10" s="6" t="s">
        <v>431</v>
      </c>
    </row>
    <row r="11" spans="1:11">
      <c r="A11" s="4" t="s">
        <v>450</v>
      </c>
    </row>
    <row r="12" spans="1:11">
      <c r="A12" s="42"/>
    </row>
    <row r="13" spans="1:11" ht="15.75">
      <c r="A13" s="6" t="s">
        <v>11</v>
      </c>
    </row>
    <row r="14" spans="1:11">
      <c r="A14" s="34" t="s">
        <v>423</v>
      </c>
    </row>
    <row r="15" spans="1:11">
      <c r="A15" s="143" t="s">
        <v>113</v>
      </c>
      <c r="B15" s="145"/>
      <c r="C15" s="8" t="s">
        <v>49</v>
      </c>
      <c r="D15" s="8" t="s">
        <v>16</v>
      </c>
    </row>
    <row r="16" spans="1:11">
      <c r="A16" s="167">
        <v>42823.507711458333</v>
      </c>
      <c r="B16" s="145"/>
      <c r="C16" s="37">
        <f t="shared" ref="C16:C17" si="0">YEAR(A16)</f>
        <v>2017</v>
      </c>
      <c r="D16" s="37" t="s">
        <v>451</v>
      </c>
    </row>
    <row r="17" spans="1:7">
      <c r="A17" s="169">
        <v>18681</v>
      </c>
      <c r="B17" s="145"/>
      <c r="C17" s="37">
        <f t="shared" si="0"/>
        <v>1951</v>
      </c>
      <c r="D17" s="37" t="s">
        <v>452</v>
      </c>
    </row>
    <row r="18" spans="1:7">
      <c r="A18" s="30"/>
      <c r="B18" s="30"/>
      <c r="C18" s="30"/>
    </row>
    <row r="19" spans="1:7" ht="15.75">
      <c r="A19" s="6" t="s">
        <v>289</v>
      </c>
    </row>
    <row r="20" spans="1:7">
      <c r="A20" s="34" t="s">
        <v>453</v>
      </c>
    </row>
    <row r="21" spans="1:7" ht="15.75" customHeight="1">
      <c r="A21" s="143" t="s">
        <v>113</v>
      </c>
      <c r="B21" s="144"/>
      <c r="C21" s="145"/>
      <c r="D21" s="143" t="s">
        <v>436</v>
      </c>
      <c r="E21" s="145"/>
      <c r="F21" s="143" t="s">
        <v>454</v>
      </c>
      <c r="G21" s="145"/>
    </row>
    <row r="22" spans="1:7" ht="15.75" customHeight="1">
      <c r="A22" s="168" t="s">
        <v>426</v>
      </c>
      <c r="B22" s="144"/>
      <c r="C22" s="145"/>
      <c r="D22" s="167">
        <f ca="1">NOW()</f>
        <v>46079.929476967591</v>
      </c>
      <c r="E22" s="145"/>
      <c r="F22" s="166">
        <f t="shared" ref="F22:F23" si="1">YEAR(B22)</f>
        <v>1900</v>
      </c>
      <c r="G22" s="145"/>
    </row>
    <row r="23" spans="1:7" ht="15" customHeight="1">
      <c r="A23" s="168" t="s">
        <v>455</v>
      </c>
      <c r="B23" s="144"/>
      <c r="C23" s="145"/>
      <c r="D23" s="167">
        <f ca="1">NOW()-365</f>
        <v>45714.929476967591</v>
      </c>
      <c r="E23" s="145"/>
      <c r="F23" s="166">
        <f t="shared" si="1"/>
        <v>1900</v>
      </c>
      <c r="G23" s="145"/>
    </row>
    <row r="24" spans="1:7" ht="15.75" customHeight="1"/>
    <row r="25" spans="1:7" ht="15.75" customHeight="1">
      <c r="A25" s="6" t="s">
        <v>292</v>
      </c>
    </row>
    <row r="26" spans="1:7" ht="15.75" customHeight="1">
      <c r="A26" s="34" t="s">
        <v>456</v>
      </c>
    </row>
    <row r="27" spans="1:7" ht="15.75" customHeight="1">
      <c r="A27" s="8" t="s">
        <v>392</v>
      </c>
      <c r="B27" s="143" t="s">
        <v>157</v>
      </c>
      <c r="C27" s="144"/>
      <c r="D27" s="144"/>
      <c r="E27" s="145"/>
    </row>
    <row r="28" spans="1:7" ht="15.75" customHeight="1">
      <c r="A28" s="24">
        <v>42384</v>
      </c>
      <c r="B28" s="146" t="s">
        <v>457</v>
      </c>
      <c r="C28" s="144"/>
      <c r="D28" s="144"/>
      <c r="E28" s="145"/>
    </row>
    <row r="29" spans="1:7" ht="15.75" customHeight="1">
      <c r="A29" s="24">
        <v>42415</v>
      </c>
      <c r="B29" s="169">
        <f>DATE(YEAR(A28),MONTH(A28)+1,DAY(A28))</f>
        <v>42415</v>
      </c>
      <c r="C29" s="144"/>
      <c r="D29" s="144"/>
      <c r="E29" s="145"/>
      <c r="F29" s="4" t="s">
        <v>458</v>
      </c>
    </row>
    <row r="30" spans="1:7" ht="15.75" customHeight="1">
      <c r="A30" s="24">
        <v>42444</v>
      </c>
      <c r="B30" s="169">
        <f t="shared" ref="B30:B35" si="2">DATE(YEAR(A30),MONTH(A30)+1,DAY(A30))</f>
        <v>42475</v>
      </c>
      <c r="C30" s="144"/>
      <c r="D30" s="144"/>
      <c r="E30" s="145"/>
      <c r="F30" s="4" t="e">
        <f t="shared" ref="F30:F35" ca="1" si="3">_xludf.FORMULATEXT(B30)</f>
        <v>#NAME?</v>
      </c>
    </row>
    <row r="31" spans="1:7" ht="15.75" customHeight="1">
      <c r="A31" s="24">
        <v>42475</v>
      </c>
      <c r="B31" s="169">
        <f t="shared" si="2"/>
        <v>42505</v>
      </c>
      <c r="C31" s="144"/>
      <c r="D31" s="144"/>
      <c r="E31" s="145"/>
      <c r="F31" s="4" t="e">
        <f t="shared" ca="1" si="3"/>
        <v>#NAME?</v>
      </c>
    </row>
    <row r="32" spans="1:7" ht="15.75" customHeight="1">
      <c r="A32" s="24">
        <v>42505</v>
      </c>
      <c r="B32" s="169">
        <f t="shared" si="2"/>
        <v>42536</v>
      </c>
      <c r="C32" s="144"/>
      <c r="D32" s="144"/>
      <c r="E32" s="145"/>
      <c r="F32" s="4" t="e">
        <f t="shared" ca="1" si="3"/>
        <v>#NAME?</v>
      </c>
    </row>
    <row r="33" spans="1:6" ht="15.75" customHeight="1">
      <c r="A33" s="24">
        <v>42536</v>
      </c>
      <c r="B33" s="169">
        <f t="shared" si="2"/>
        <v>42566</v>
      </c>
      <c r="C33" s="144"/>
      <c r="D33" s="144"/>
      <c r="E33" s="145"/>
      <c r="F33" s="4" t="e">
        <f t="shared" ca="1" si="3"/>
        <v>#NAME?</v>
      </c>
    </row>
    <row r="34" spans="1:6" ht="15.75" customHeight="1">
      <c r="A34" s="24">
        <v>42566</v>
      </c>
      <c r="B34" s="169">
        <f t="shared" si="2"/>
        <v>42597</v>
      </c>
      <c r="C34" s="144"/>
      <c r="D34" s="144"/>
      <c r="E34" s="145"/>
      <c r="F34" s="4" t="e">
        <f t="shared" ca="1" si="3"/>
        <v>#NAME?</v>
      </c>
    </row>
    <row r="35" spans="1:6" ht="15.75" customHeight="1">
      <c r="A35" s="24">
        <v>42967</v>
      </c>
      <c r="B35" s="169">
        <f t="shared" si="2"/>
        <v>42998</v>
      </c>
      <c r="C35" s="144"/>
      <c r="D35" s="144"/>
      <c r="E35" s="145"/>
      <c r="F35" s="4" t="e">
        <f t="shared" ca="1" si="3"/>
        <v>#NAME?</v>
      </c>
    </row>
    <row r="36" spans="1:6" ht="15.75" customHeight="1"/>
    <row r="37" spans="1:6" ht="15.75" customHeight="1"/>
    <row r="38" spans="1:6" ht="15.75" customHeight="1"/>
    <row r="39" spans="1:6" ht="15.75" customHeight="1"/>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3:C23"/>
    <mergeCell ref="D23:E23"/>
    <mergeCell ref="F23:G23"/>
    <mergeCell ref="B34:E34"/>
    <mergeCell ref="B35:E35"/>
    <mergeCell ref="B27:E27"/>
    <mergeCell ref="B28:E28"/>
    <mergeCell ref="B29:E29"/>
    <mergeCell ref="B30:E30"/>
    <mergeCell ref="B31:E31"/>
    <mergeCell ref="B32:E32"/>
    <mergeCell ref="B33:E33"/>
    <mergeCell ref="D21:E21"/>
    <mergeCell ref="F21:G21"/>
    <mergeCell ref="A21:C21"/>
    <mergeCell ref="A22:C22"/>
    <mergeCell ref="D22:E22"/>
    <mergeCell ref="F22:G22"/>
    <mergeCell ref="A1:B1"/>
    <mergeCell ref="A4:I5"/>
    <mergeCell ref="A15:B15"/>
    <mergeCell ref="A16:B16"/>
    <mergeCell ref="A17:B17"/>
  </mergeCells>
  <pageMargins left="0.7" right="0.7" top="0.75" bottom="0.75" header="0" footer="0"/>
  <pageSetup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000"/>
  <sheetViews>
    <sheetView showGridLines="0" topLeftCell="A10" workbookViewId="0">
      <selection sqref="A1:B1"/>
    </sheetView>
  </sheetViews>
  <sheetFormatPr defaultColWidth="14.42578125" defaultRowHeight="15" customHeight="1"/>
  <cols>
    <col min="1" max="1" width="12.85546875" customWidth="1"/>
    <col min="2" max="2" width="12.7109375" customWidth="1"/>
    <col min="3" max="3" width="10.140625" customWidth="1"/>
    <col min="4" max="5" width="17.14062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459</v>
      </c>
      <c r="B1" s="149"/>
      <c r="C1" s="31"/>
      <c r="D1" s="2"/>
      <c r="E1" s="2"/>
      <c r="F1" s="2"/>
      <c r="G1" s="2"/>
      <c r="H1" s="2"/>
      <c r="I1" s="2"/>
      <c r="J1" s="2"/>
      <c r="K1" s="2"/>
    </row>
    <row r="3" spans="1:11" ht="18.75">
      <c r="A3" s="3" t="s">
        <v>1</v>
      </c>
    </row>
    <row r="4" spans="1:11" ht="15" customHeight="1">
      <c r="A4" s="162" t="s">
        <v>460</v>
      </c>
      <c r="B4" s="142"/>
      <c r="C4" s="142"/>
      <c r="D4" s="142"/>
      <c r="E4" s="142"/>
      <c r="F4" s="142"/>
      <c r="G4" s="142"/>
      <c r="H4" s="142"/>
      <c r="I4" s="142"/>
    </row>
    <row r="5" spans="1:11" ht="15" customHeight="1">
      <c r="A5" s="142"/>
      <c r="B5" s="142"/>
      <c r="C5" s="142"/>
      <c r="D5" s="142"/>
      <c r="E5" s="142"/>
      <c r="F5" s="142"/>
      <c r="G5" s="142"/>
      <c r="H5" s="142"/>
      <c r="I5" s="142"/>
    </row>
    <row r="6" spans="1:11">
      <c r="A6" s="32"/>
      <c r="B6" s="32"/>
      <c r="C6" s="32"/>
      <c r="D6" s="32"/>
      <c r="E6" s="32"/>
      <c r="F6" s="32"/>
      <c r="G6" s="32"/>
      <c r="H6" s="32"/>
      <c r="I6" s="32"/>
    </row>
    <row r="7" spans="1:11" ht="18.75">
      <c r="A7" s="3" t="s">
        <v>3</v>
      </c>
    </row>
    <row r="8" spans="1:11" ht="15.75">
      <c r="A8" s="5" t="s">
        <v>461</v>
      </c>
    </row>
    <row r="10" spans="1:11" ht="15.75">
      <c r="A10" s="6" t="s">
        <v>431</v>
      </c>
    </row>
    <row r="11" spans="1:11">
      <c r="A11" s="4" t="s">
        <v>450</v>
      </c>
    </row>
    <row r="12" spans="1:11">
      <c r="A12" s="42"/>
    </row>
    <row r="13" spans="1:11" ht="15.75">
      <c r="A13" s="6" t="s">
        <v>462</v>
      </c>
    </row>
    <row r="14" spans="1:11">
      <c r="A14" s="141" t="s">
        <v>463</v>
      </c>
      <c r="B14" s="142"/>
      <c r="C14" s="142"/>
      <c r="D14" s="142"/>
      <c r="E14" s="142"/>
      <c r="F14" s="142"/>
      <c r="G14" s="142"/>
      <c r="H14" s="142"/>
      <c r="I14" s="142"/>
      <c r="J14" s="142"/>
    </row>
    <row r="15" spans="1:11" ht="15" customHeight="1">
      <c r="A15" s="142"/>
      <c r="B15" s="142"/>
      <c r="C15" s="142"/>
      <c r="D15" s="142"/>
      <c r="E15" s="142"/>
      <c r="F15" s="142"/>
      <c r="G15" s="142"/>
      <c r="H15" s="142"/>
      <c r="I15" s="142"/>
      <c r="J15" s="142"/>
    </row>
    <row r="16" spans="1:11">
      <c r="A16" s="7"/>
      <c r="B16" s="7"/>
      <c r="C16" s="7"/>
      <c r="D16" s="7"/>
      <c r="E16" s="7"/>
      <c r="F16" s="7"/>
      <c r="G16" s="7"/>
      <c r="H16" s="7"/>
      <c r="I16" s="7"/>
      <c r="J16" s="7"/>
    </row>
    <row r="17" spans="1:4" ht="15.75">
      <c r="A17" s="6" t="s">
        <v>11</v>
      </c>
    </row>
    <row r="18" spans="1:4">
      <c r="A18" s="34" t="s">
        <v>464</v>
      </c>
    </row>
    <row r="19" spans="1:4">
      <c r="A19" s="143" t="s">
        <v>113</v>
      </c>
      <c r="B19" s="145"/>
      <c r="C19" s="8" t="s">
        <v>49</v>
      </c>
      <c r="D19" s="8" t="s">
        <v>16</v>
      </c>
    </row>
    <row r="20" spans="1:4">
      <c r="A20" s="169">
        <f t="shared" ref="A20:A23" ca="1" si="0">TODAY()</f>
        <v>46079</v>
      </c>
      <c r="B20" s="145"/>
      <c r="C20" s="37">
        <f ca="1">WEEKDAY(A20)</f>
        <v>5</v>
      </c>
      <c r="D20" s="37" t="s">
        <v>465</v>
      </c>
    </row>
    <row r="21" spans="1:4" ht="15.75" customHeight="1">
      <c r="A21" s="169">
        <f t="shared" ca="1" si="0"/>
        <v>46079</v>
      </c>
      <c r="B21" s="145"/>
      <c r="C21" s="37">
        <f ca="1">WEEKDAY(A21,2)</f>
        <v>4</v>
      </c>
      <c r="D21" s="37" t="s">
        <v>466</v>
      </c>
    </row>
    <row r="22" spans="1:4" ht="15.75" customHeight="1">
      <c r="A22" s="169">
        <f t="shared" ca="1" si="0"/>
        <v>46079</v>
      </c>
      <c r="B22" s="145"/>
      <c r="C22" s="37">
        <f ca="1">WEEKDAY(A22,3)</f>
        <v>3</v>
      </c>
      <c r="D22" s="37" t="s">
        <v>467</v>
      </c>
    </row>
    <row r="23" spans="1:4" ht="15.75" customHeight="1">
      <c r="A23" s="169">
        <f t="shared" ca="1" si="0"/>
        <v>46079</v>
      </c>
      <c r="B23" s="145"/>
      <c r="C23" s="37">
        <f ca="1">WEEKDAY(A23,14)</f>
        <v>1</v>
      </c>
      <c r="D23" s="37" t="s">
        <v>468</v>
      </c>
    </row>
    <row r="24" spans="1:4" ht="15.75" customHeight="1">
      <c r="A24" s="30"/>
      <c r="B24" s="30"/>
      <c r="C24" s="30"/>
    </row>
    <row r="25" spans="1:4" ht="15.75" customHeight="1">
      <c r="A25" s="6" t="s">
        <v>289</v>
      </c>
    </row>
    <row r="26" spans="1:4" ht="15.75" customHeight="1">
      <c r="A26" s="34" t="s">
        <v>469</v>
      </c>
    </row>
    <row r="27" spans="1:4" ht="15.75" customHeight="1">
      <c r="A27" s="8" t="s">
        <v>470</v>
      </c>
      <c r="B27" s="8" t="s">
        <v>471</v>
      </c>
      <c r="C27" s="143" t="s">
        <v>157</v>
      </c>
      <c r="D27" s="145"/>
    </row>
    <row r="28" spans="1:4" ht="15.75" customHeight="1">
      <c r="A28" s="24">
        <v>42736</v>
      </c>
      <c r="B28" s="37">
        <v>1</v>
      </c>
      <c r="C28" s="167">
        <f>WEEKDAY(A28)</f>
        <v>1</v>
      </c>
      <c r="D28" s="145"/>
    </row>
    <row r="29" spans="1:4" ht="15.75" customHeight="1">
      <c r="A29" s="24">
        <v>42736</v>
      </c>
      <c r="B29" s="37">
        <v>2</v>
      </c>
      <c r="C29" s="167">
        <f>WEEKDAY(A29,3)</f>
        <v>6</v>
      </c>
      <c r="D29" s="145"/>
    </row>
    <row r="30" spans="1:4" ht="15.75" customHeight="1">
      <c r="A30" s="24">
        <v>42736</v>
      </c>
      <c r="B30" s="37">
        <v>3</v>
      </c>
      <c r="C30" s="167">
        <f>WEEKDAY(A30,2)</f>
        <v>7</v>
      </c>
      <c r="D30" s="145"/>
    </row>
    <row r="31" spans="1:4" ht="15.75" customHeight="1"/>
    <row r="32" spans="1:4" ht="15.75" customHeight="1">
      <c r="A32" s="6" t="s">
        <v>292</v>
      </c>
    </row>
    <row r="33" spans="1:10" ht="15.75" customHeight="1">
      <c r="A33" s="141" t="s">
        <v>472</v>
      </c>
      <c r="B33" s="142"/>
      <c r="C33" s="142"/>
      <c r="D33" s="142"/>
      <c r="E33" s="142"/>
      <c r="F33" s="142"/>
      <c r="G33" s="142"/>
      <c r="H33" s="142"/>
      <c r="I33" s="142"/>
      <c r="J33" s="142"/>
    </row>
    <row r="34" spans="1:10" ht="15.75" customHeight="1">
      <c r="A34" s="142"/>
      <c r="B34" s="142"/>
      <c r="C34" s="142"/>
      <c r="D34" s="142"/>
      <c r="E34" s="142"/>
      <c r="F34" s="142"/>
      <c r="G34" s="142"/>
      <c r="H34" s="142"/>
      <c r="I34" s="142"/>
      <c r="J34" s="142"/>
    </row>
    <row r="35" spans="1:10" ht="15.75" customHeight="1">
      <c r="A35" s="8" t="s">
        <v>470</v>
      </c>
      <c r="B35" s="8" t="s">
        <v>473</v>
      </c>
      <c r="C35" s="143" t="s">
        <v>474</v>
      </c>
      <c r="D35" s="145"/>
    </row>
    <row r="36" spans="1:10" ht="15.75" customHeight="1">
      <c r="A36" s="24">
        <v>42822</v>
      </c>
      <c r="B36" s="9">
        <f t="shared" ref="B36:B43" si="1">WEEKDAY(A36)</f>
        <v>3</v>
      </c>
      <c r="C36" s="169">
        <f t="shared" ref="C36:C43" si="2">IF(B36=3,A36-4,A36)</f>
        <v>42818</v>
      </c>
      <c r="D36" s="145"/>
    </row>
    <row r="37" spans="1:10" ht="15.75" customHeight="1">
      <c r="A37" s="24">
        <v>42823</v>
      </c>
      <c r="B37" s="9">
        <f t="shared" si="1"/>
        <v>4</v>
      </c>
      <c r="C37" s="169">
        <f t="shared" si="2"/>
        <v>42823</v>
      </c>
      <c r="D37" s="145"/>
    </row>
    <row r="38" spans="1:10" ht="15.75" customHeight="1">
      <c r="A38" s="24">
        <v>42815</v>
      </c>
      <c r="B38" s="9">
        <f t="shared" si="1"/>
        <v>3</v>
      </c>
      <c r="C38" s="169">
        <f t="shared" si="2"/>
        <v>42811</v>
      </c>
      <c r="D38" s="145"/>
    </row>
    <row r="39" spans="1:10" ht="15.75" customHeight="1">
      <c r="A39" s="24">
        <v>42370</v>
      </c>
      <c r="B39" s="9">
        <f t="shared" si="1"/>
        <v>6</v>
      </c>
      <c r="C39" s="169">
        <f t="shared" si="2"/>
        <v>42370</v>
      </c>
      <c r="D39" s="145"/>
    </row>
    <row r="40" spans="1:10" ht="15.75" customHeight="1">
      <c r="A40" s="24">
        <v>42736</v>
      </c>
      <c r="B40" s="9">
        <f t="shared" si="1"/>
        <v>1</v>
      </c>
      <c r="C40" s="169">
        <f t="shared" si="2"/>
        <v>42736</v>
      </c>
      <c r="D40" s="145"/>
    </row>
    <row r="41" spans="1:10" ht="15.75" customHeight="1">
      <c r="A41" s="24">
        <v>42005</v>
      </c>
      <c r="B41" s="9">
        <f t="shared" si="1"/>
        <v>5</v>
      </c>
      <c r="C41" s="169">
        <f t="shared" si="2"/>
        <v>42005</v>
      </c>
      <c r="D41" s="145"/>
    </row>
    <row r="42" spans="1:10" ht="15.75" customHeight="1">
      <c r="A42" s="24">
        <v>41640</v>
      </c>
      <c r="B42" s="9">
        <f t="shared" si="1"/>
        <v>4</v>
      </c>
      <c r="C42" s="169">
        <f t="shared" si="2"/>
        <v>41640</v>
      </c>
      <c r="D42" s="145"/>
    </row>
    <row r="43" spans="1:10" ht="15.75" customHeight="1">
      <c r="A43" s="24">
        <v>41275</v>
      </c>
      <c r="B43" s="9">
        <f t="shared" si="1"/>
        <v>3</v>
      </c>
      <c r="C43" s="169">
        <f t="shared" si="2"/>
        <v>41271</v>
      </c>
      <c r="D43" s="145"/>
    </row>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39:D39"/>
    <mergeCell ref="C40:D40"/>
    <mergeCell ref="C41:D41"/>
    <mergeCell ref="C42:D42"/>
    <mergeCell ref="C43:D43"/>
    <mergeCell ref="A21:B21"/>
    <mergeCell ref="A22:B22"/>
    <mergeCell ref="C36:D36"/>
    <mergeCell ref="C37:D37"/>
    <mergeCell ref="C38:D38"/>
    <mergeCell ref="A23:B23"/>
    <mergeCell ref="C27:D27"/>
    <mergeCell ref="C28:D28"/>
    <mergeCell ref="C29:D29"/>
    <mergeCell ref="C30:D30"/>
    <mergeCell ref="A33:J34"/>
    <mergeCell ref="C35:D35"/>
    <mergeCell ref="A1:B1"/>
    <mergeCell ref="A4:I5"/>
    <mergeCell ref="A14:J15"/>
    <mergeCell ref="A19:B19"/>
    <mergeCell ref="A20:B20"/>
  </mergeCells>
  <pageMargins left="0.7" right="0.7" top="0.75" bottom="0.75" header="0" footer="0"/>
  <pageSetup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000"/>
  <sheetViews>
    <sheetView showGridLines="0" workbookViewId="0">
      <selection sqref="A1:B1"/>
    </sheetView>
  </sheetViews>
  <sheetFormatPr defaultColWidth="14.42578125" defaultRowHeight="15" customHeight="1"/>
  <cols>
    <col min="1" max="1" width="12.85546875" customWidth="1"/>
    <col min="2" max="2" width="12.7109375" customWidth="1"/>
    <col min="3" max="3" width="10.140625" customWidth="1"/>
    <col min="4" max="5" width="17.14062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475</v>
      </c>
      <c r="B1" s="149"/>
      <c r="C1" s="31"/>
      <c r="D1" s="2"/>
      <c r="E1" s="2"/>
      <c r="F1" s="2"/>
      <c r="G1" s="2"/>
      <c r="H1" s="2"/>
      <c r="I1" s="2"/>
      <c r="J1" s="2"/>
      <c r="K1" s="2"/>
    </row>
    <row r="3" spans="1:11" ht="18.75">
      <c r="A3" s="3" t="s">
        <v>1</v>
      </c>
    </row>
    <row r="4" spans="1:11" ht="15" customHeight="1">
      <c r="A4" s="162" t="s">
        <v>476</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477</v>
      </c>
    </row>
    <row r="9" spans="1:11" ht="15.75">
      <c r="A9" s="6" t="s">
        <v>431</v>
      </c>
    </row>
    <row r="10" spans="1:11">
      <c r="A10" s="4" t="s">
        <v>478</v>
      </c>
    </row>
    <row r="11" spans="1:11">
      <c r="A11" s="42"/>
    </row>
    <row r="12" spans="1:11" ht="15.75">
      <c r="A12" s="6" t="s">
        <v>11</v>
      </c>
    </row>
    <row r="13" spans="1:11">
      <c r="A13" s="34" t="s">
        <v>464</v>
      </c>
    </row>
    <row r="14" spans="1:11">
      <c r="A14" s="143" t="s">
        <v>113</v>
      </c>
      <c r="B14" s="145"/>
      <c r="C14" s="8" t="s">
        <v>49</v>
      </c>
      <c r="D14" s="8" t="s">
        <v>16</v>
      </c>
    </row>
    <row r="15" spans="1:11">
      <c r="A15" s="167">
        <f ca="1">NOW()</f>
        <v>46079.929476967591</v>
      </c>
      <c r="B15" s="145"/>
      <c r="C15" s="37">
        <f t="shared" ref="C15:C17" ca="1" si="0">MINUTE(A15)</f>
        <v>18</v>
      </c>
      <c r="D15" s="37" t="s">
        <v>479</v>
      </c>
    </row>
    <row r="16" spans="1:11">
      <c r="A16" s="170">
        <v>0.42708333333333331</v>
      </c>
      <c r="B16" s="145"/>
      <c r="C16" s="37">
        <f t="shared" si="0"/>
        <v>15</v>
      </c>
      <c r="D16" s="37" t="s">
        <v>480</v>
      </c>
    </row>
    <row r="17" spans="1:4">
      <c r="A17" s="170">
        <v>0.93055555555555547</v>
      </c>
      <c r="B17" s="145"/>
      <c r="C17" s="37">
        <f t="shared" si="0"/>
        <v>20</v>
      </c>
      <c r="D17" s="37" t="s">
        <v>481</v>
      </c>
    </row>
    <row r="18" spans="1:4">
      <c r="A18" s="30"/>
      <c r="B18" s="30"/>
      <c r="C18" s="30"/>
    </row>
    <row r="19" spans="1:4" ht="15.75">
      <c r="A19" s="6" t="s">
        <v>27</v>
      </c>
    </row>
    <row r="20" spans="1:4">
      <c r="A20" s="34" t="s">
        <v>482</v>
      </c>
    </row>
    <row r="21" spans="1:4" ht="15.75" customHeight="1">
      <c r="A21" s="143" t="s">
        <v>113</v>
      </c>
      <c r="B21" s="145"/>
      <c r="C21" s="8" t="s">
        <v>157</v>
      </c>
    </row>
    <row r="22" spans="1:4" ht="15.75" customHeight="1">
      <c r="A22" s="167">
        <v>42766.034722222219</v>
      </c>
      <c r="B22" s="145"/>
      <c r="C22" s="37">
        <f t="shared" ref="C22:C24" si="1">MINUTE(A22)</f>
        <v>50</v>
      </c>
    </row>
    <row r="23" spans="1:4" ht="15.75" customHeight="1">
      <c r="A23" s="167">
        <v>42736.000694444447</v>
      </c>
      <c r="B23" s="145"/>
      <c r="C23" s="37">
        <f t="shared" si="1"/>
        <v>1</v>
      </c>
    </row>
    <row r="24" spans="1:4" ht="15.75" customHeight="1">
      <c r="A24" s="170">
        <v>3.125E-2</v>
      </c>
      <c r="B24" s="145"/>
      <c r="C24" s="37">
        <f t="shared" si="1"/>
        <v>45</v>
      </c>
    </row>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22:B22"/>
    <mergeCell ref="A23:B23"/>
    <mergeCell ref="A24:B24"/>
    <mergeCell ref="A1:B1"/>
    <mergeCell ref="A4:I4"/>
    <mergeCell ref="A14:B14"/>
    <mergeCell ref="A15:B15"/>
    <mergeCell ref="A16:B16"/>
    <mergeCell ref="A17:B17"/>
    <mergeCell ref="A21:B21"/>
  </mergeCells>
  <pageMargins left="0.7" right="0.7" top="0.75" bottom="0.75" header="0" footer="0"/>
  <pageSetup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000"/>
  <sheetViews>
    <sheetView showGridLines="0" workbookViewId="0">
      <selection sqref="A1:B1"/>
    </sheetView>
  </sheetViews>
  <sheetFormatPr defaultColWidth="14.42578125" defaultRowHeight="15" customHeight="1"/>
  <cols>
    <col min="1" max="1" width="12.85546875" customWidth="1"/>
    <col min="2" max="2" width="12.7109375" customWidth="1"/>
    <col min="3" max="3" width="10.140625" customWidth="1"/>
    <col min="4" max="5" width="17.14062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483</v>
      </c>
      <c r="B1" s="149"/>
      <c r="C1" s="31"/>
      <c r="D1" s="2"/>
      <c r="E1" s="2"/>
      <c r="F1" s="2"/>
      <c r="G1" s="2"/>
      <c r="H1" s="2"/>
      <c r="I1" s="2"/>
      <c r="J1" s="2"/>
      <c r="K1" s="2"/>
    </row>
    <row r="3" spans="1:11" ht="18.75">
      <c r="A3" s="3" t="s">
        <v>1</v>
      </c>
    </row>
    <row r="4" spans="1:11" ht="15" customHeight="1">
      <c r="A4" s="162" t="s">
        <v>484</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485</v>
      </c>
    </row>
    <row r="9" spans="1:11" ht="15.75">
      <c r="A9" s="6" t="s">
        <v>431</v>
      </c>
    </row>
    <row r="10" spans="1:11">
      <c r="A10" s="4" t="s">
        <v>486</v>
      </c>
    </row>
    <row r="11" spans="1:11">
      <c r="A11" s="42"/>
    </row>
    <row r="12" spans="1:11" ht="15.75">
      <c r="A12" s="6" t="s">
        <v>11</v>
      </c>
    </row>
    <row r="13" spans="1:11">
      <c r="A13" s="34" t="s">
        <v>464</v>
      </c>
    </row>
    <row r="14" spans="1:11">
      <c r="A14" s="143" t="s">
        <v>113</v>
      </c>
      <c r="B14" s="145"/>
      <c r="C14" s="8" t="s">
        <v>49</v>
      </c>
      <c r="D14" s="8" t="s">
        <v>16</v>
      </c>
    </row>
    <row r="15" spans="1:11">
      <c r="A15" s="167">
        <f ca="1">NOW()</f>
        <v>46079.929476967591</v>
      </c>
      <c r="B15" s="145"/>
      <c r="C15" s="37">
        <f t="shared" ref="C15:C17" ca="1" si="0">HOUR(A15)</f>
        <v>22</v>
      </c>
      <c r="D15" s="37" t="s">
        <v>487</v>
      </c>
    </row>
    <row r="16" spans="1:11">
      <c r="A16" s="170">
        <v>0.42708333333333331</v>
      </c>
      <c r="B16" s="145"/>
      <c r="C16" s="37">
        <f t="shared" si="0"/>
        <v>10</v>
      </c>
      <c r="D16" s="37" t="s">
        <v>488</v>
      </c>
    </row>
    <row r="17" spans="1:4">
      <c r="A17" s="170">
        <v>0.99998842592592585</v>
      </c>
      <c r="B17" s="145"/>
      <c r="C17" s="37">
        <f t="shared" si="0"/>
        <v>23</v>
      </c>
      <c r="D17" s="37" t="s">
        <v>489</v>
      </c>
    </row>
    <row r="18" spans="1:4">
      <c r="A18" s="30"/>
      <c r="B18" s="30"/>
      <c r="C18" s="30"/>
    </row>
    <row r="19" spans="1:4" ht="15.75">
      <c r="A19" s="6" t="s">
        <v>27</v>
      </c>
    </row>
    <row r="20" spans="1:4">
      <c r="A20" s="34" t="s">
        <v>490</v>
      </c>
    </row>
    <row r="21" spans="1:4" ht="15.75" customHeight="1">
      <c r="A21" s="143" t="s">
        <v>113</v>
      </c>
      <c r="B21" s="145"/>
      <c r="C21" s="8" t="s">
        <v>157</v>
      </c>
    </row>
    <row r="22" spans="1:4" ht="15.75" customHeight="1">
      <c r="A22" s="167">
        <v>42766.034722222219</v>
      </c>
      <c r="B22" s="145"/>
      <c r="C22" s="37">
        <f t="shared" ref="C22:C24" si="1">HOUR(A22)</f>
        <v>0</v>
      </c>
    </row>
    <row r="23" spans="1:4" ht="15.75" customHeight="1">
      <c r="A23" s="167">
        <v>42736.959027777775</v>
      </c>
      <c r="B23" s="145"/>
      <c r="C23" s="37">
        <f t="shared" si="1"/>
        <v>23</v>
      </c>
    </row>
    <row r="24" spans="1:4" ht="15.75" customHeight="1">
      <c r="A24" s="170">
        <v>0.23958333333333334</v>
      </c>
      <c r="B24" s="145"/>
      <c r="C24" s="37">
        <f t="shared" si="1"/>
        <v>5</v>
      </c>
    </row>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22:B22"/>
    <mergeCell ref="A23:B23"/>
    <mergeCell ref="A24:B24"/>
    <mergeCell ref="A1:B1"/>
    <mergeCell ref="A4:I4"/>
    <mergeCell ref="A14:B14"/>
    <mergeCell ref="A15:B15"/>
    <mergeCell ref="A16:B16"/>
    <mergeCell ref="A17:B17"/>
    <mergeCell ref="A21:B21"/>
  </mergeCells>
  <pageMargins left="0.7" right="0.7" top="0.75" bottom="0.75" header="0" footer="0"/>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00"/>
  <sheetViews>
    <sheetView showGridLines="0" topLeftCell="A88" workbookViewId="0">
      <selection sqref="A1:C1"/>
    </sheetView>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1.140625" customWidth="1"/>
    <col min="12" max="16" width="8.7109375" customWidth="1"/>
  </cols>
  <sheetData>
    <row r="1" spans="1:11" ht="31.5">
      <c r="A1" s="161" t="s">
        <v>491</v>
      </c>
      <c r="B1" s="149"/>
      <c r="C1" s="149"/>
      <c r="D1" s="2"/>
      <c r="E1" s="2"/>
      <c r="F1" s="2"/>
      <c r="G1" s="2"/>
      <c r="H1" s="2"/>
      <c r="I1" s="2"/>
      <c r="J1" s="2"/>
      <c r="K1" s="2"/>
    </row>
    <row r="3" spans="1:11" ht="18.75">
      <c r="A3" s="3" t="s">
        <v>1</v>
      </c>
    </row>
    <row r="4" spans="1:11" ht="15" customHeight="1">
      <c r="A4" s="162" t="s">
        <v>492</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493</v>
      </c>
    </row>
    <row r="9" spans="1:11" ht="15.75">
      <c r="A9" s="6" t="s">
        <v>494</v>
      </c>
    </row>
    <row r="10" spans="1:11">
      <c r="A10" s="4" t="s">
        <v>495</v>
      </c>
    </row>
    <row r="11" spans="1:11">
      <c r="A11" s="42"/>
    </row>
    <row r="12" spans="1:11" ht="15.75">
      <c r="A12" s="6" t="s">
        <v>496</v>
      </c>
    </row>
    <row r="13" spans="1:11">
      <c r="A13" s="141" t="s">
        <v>497</v>
      </c>
      <c r="B13" s="142"/>
      <c r="C13" s="142"/>
      <c r="D13" s="142"/>
      <c r="E13" s="142"/>
      <c r="F13" s="142"/>
      <c r="G13" s="142"/>
      <c r="H13" s="142"/>
      <c r="I13" s="142"/>
      <c r="J13" s="142"/>
    </row>
    <row r="14" spans="1:11" ht="15" customHeight="1">
      <c r="A14" s="142"/>
      <c r="B14" s="142"/>
      <c r="C14" s="142"/>
      <c r="D14" s="142"/>
      <c r="E14" s="142"/>
      <c r="F14" s="142"/>
      <c r="G14" s="142"/>
      <c r="H14" s="142"/>
      <c r="I14" s="142"/>
      <c r="J14" s="142"/>
    </row>
    <row r="15" spans="1:11">
      <c r="A15" s="7"/>
      <c r="B15" s="7"/>
      <c r="C15" s="7"/>
      <c r="D15" s="7"/>
      <c r="E15" s="7"/>
      <c r="F15" s="7"/>
      <c r="G15" s="7"/>
      <c r="H15" s="7"/>
      <c r="I15" s="7"/>
      <c r="J15" s="7"/>
    </row>
    <row r="16" spans="1:11" ht="15.75">
      <c r="A16" s="6" t="s">
        <v>498</v>
      </c>
    </row>
    <row r="17" spans="1:16">
      <c r="A17" s="4" t="s">
        <v>499</v>
      </c>
    </row>
    <row r="18" spans="1:16">
      <c r="A18" s="42"/>
    </row>
    <row r="19" spans="1:16" ht="15.75">
      <c r="A19" s="6" t="s">
        <v>500</v>
      </c>
    </row>
    <row r="20" spans="1:16">
      <c r="A20" s="4" t="s">
        <v>501</v>
      </c>
    </row>
    <row r="21" spans="1:16" ht="15.75" customHeight="1">
      <c r="A21" s="42"/>
    </row>
    <row r="22" spans="1:16" ht="15.75" customHeight="1">
      <c r="A22" s="6" t="s">
        <v>45</v>
      </c>
    </row>
    <row r="23" spans="1:16" ht="15.75" customHeight="1">
      <c r="A23" s="34" t="s">
        <v>502</v>
      </c>
    </row>
    <row r="24" spans="1:16" ht="15.75" customHeight="1">
      <c r="A24" s="8" t="s">
        <v>503</v>
      </c>
      <c r="B24" s="8" t="s">
        <v>504</v>
      </c>
      <c r="C24" s="8" t="s">
        <v>505</v>
      </c>
      <c r="D24" s="8" t="s">
        <v>506</v>
      </c>
    </row>
    <row r="25" spans="1:16" ht="15.75" customHeight="1">
      <c r="A25" s="9" t="s">
        <v>507</v>
      </c>
      <c r="B25" s="43">
        <v>2500</v>
      </c>
      <c r="C25" s="43">
        <v>2000</v>
      </c>
      <c r="D25" s="43">
        <v>3000</v>
      </c>
    </row>
    <row r="26" spans="1:16" ht="15.75" customHeight="1">
      <c r="A26" s="9" t="s">
        <v>508</v>
      </c>
      <c r="B26" s="43">
        <v>5000</v>
      </c>
      <c r="C26" s="43">
        <v>4999</v>
      </c>
      <c r="D26" s="43">
        <v>5200</v>
      </c>
    </row>
    <row r="27" spans="1:16" ht="15.75" customHeight="1">
      <c r="A27" s="9" t="s">
        <v>509</v>
      </c>
      <c r="B27" s="43">
        <v>1250</v>
      </c>
      <c r="C27" s="43">
        <v>1302</v>
      </c>
      <c r="D27" s="43">
        <v>1100</v>
      </c>
    </row>
    <row r="28" spans="1:16" ht="15.75" customHeight="1">
      <c r="A28" s="9" t="s">
        <v>510</v>
      </c>
      <c r="B28" s="43">
        <v>250</v>
      </c>
      <c r="C28" s="43">
        <v>300</v>
      </c>
      <c r="D28" s="43">
        <v>200</v>
      </c>
    </row>
    <row r="29" spans="1:16" ht="15.75" customHeight="1">
      <c r="A29" s="9" t="s">
        <v>511</v>
      </c>
      <c r="B29" s="43">
        <v>300</v>
      </c>
      <c r="C29" s="43">
        <v>290</v>
      </c>
      <c r="D29" s="43">
        <v>310</v>
      </c>
    </row>
    <row r="30" spans="1:16" ht="15.75" customHeight="1">
      <c r="A30" s="44"/>
      <c r="B30" s="44"/>
      <c r="C30" s="44"/>
      <c r="D30" s="44"/>
    </row>
    <row r="31" spans="1:16" ht="15" customHeight="1">
      <c r="A31" s="8" t="s">
        <v>512</v>
      </c>
      <c r="B31" s="8" t="s">
        <v>513</v>
      </c>
      <c r="C31" s="8" t="s">
        <v>514</v>
      </c>
      <c r="D31" s="143" t="s">
        <v>16</v>
      </c>
      <c r="E31" s="144"/>
      <c r="F31" s="145"/>
      <c r="H31" s="172" t="s">
        <v>515</v>
      </c>
      <c r="I31" s="151"/>
      <c r="J31" s="151"/>
      <c r="K31" s="151"/>
      <c r="L31" s="151"/>
      <c r="M31" s="151"/>
      <c r="N31" s="151"/>
      <c r="O31" s="151"/>
      <c r="P31" s="152"/>
    </row>
    <row r="32" spans="1:16" ht="15.75" customHeight="1">
      <c r="A32" s="9" t="s">
        <v>504</v>
      </c>
      <c r="B32" s="9" t="s">
        <v>510</v>
      </c>
      <c r="C32" s="45">
        <f>VLOOKUP(B32,$A$25:$B$29,2,FALSE)</f>
        <v>250</v>
      </c>
      <c r="D32" s="171" t="s">
        <v>516</v>
      </c>
      <c r="E32" s="144"/>
      <c r="F32" s="145"/>
      <c r="H32" s="153"/>
      <c r="I32" s="142"/>
      <c r="J32" s="142"/>
      <c r="K32" s="142"/>
      <c r="L32" s="142"/>
      <c r="M32" s="142"/>
      <c r="N32" s="142"/>
      <c r="O32" s="142"/>
      <c r="P32" s="154"/>
    </row>
    <row r="33" spans="1:16" ht="15.75" customHeight="1">
      <c r="A33" s="9" t="s">
        <v>505</v>
      </c>
      <c r="B33" s="9" t="s">
        <v>507</v>
      </c>
      <c r="C33" s="45">
        <f>VLOOKUP(B33,$A$25:$C$29,3,FALSE)</f>
        <v>2000</v>
      </c>
      <c r="D33" s="171" t="s">
        <v>517</v>
      </c>
      <c r="E33" s="144"/>
      <c r="F33" s="145"/>
      <c r="H33" s="153"/>
      <c r="I33" s="142"/>
      <c r="J33" s="142"/>
      <c r="K33" s="142"/>
      <c r="L33" s="142"/>
      <c r="M33" s="142"/>
      <c r="N33" s="142"/>
      <c r="O33" s="142"/>
      <c r="P33" s="154"/>
    </row>
    <row r="34" spans="1:16" ht="15.75" customHeight="1">
      <c r="A34" s="9" t="s">
        <v>506</v>
      </c>
      <c r="B34" s="9" t="s">
        <v>508</v>
      </c>
      <c r="C34" s="45">
        <f t="shared" ref="C34:C35" si="0">VLOOKUP(B34,$A$25:$D$29,4,FALSE)</f>
        <v>5200</v>
      </c>
      <c r="D34" s="171" t="s">
        <v>518</v>
      </c>
      <c r="E34" s="144"/>
      <c r="F34" s="145"/>
      <c r="H34" s="153"/>
      <c r="I34" s="142"/>
      <c r="J34" s="142"/>
      <c r="K34" s="142"/>
      <c r="L34" s="142"/>
      <c r="M34" s="142"/>
      <c r="N34" s="142"/>
      <c r="O34" s="142"/>
      <c r="P34" s="154"/>
    </row>
    <row r="35" spans="1:16" ht="15.75" customHeight="1">
      <c r="A35" s="9" t="s">
        <v>506</v>
      </c>
      <c r="B35" s="9" t="s">
        <v>509</v>
      </c>
      <c r="C35" s="45">
        <f t="shared" si="0"/>
        <v>1100</v>
      </c>
      <c r="D35" s="171" t="s">
        <v>519</v>
      </c>
      <c r="E35" s="144"/>
      <c r="F35" s="145"/>
      <c r="H35" s="153"/>
      <c r="I35" s="142"/>
      <c r="J35" s="142"/>
      <c r="K35" s="142"/>
      <c r="L35" s="142"/>
      <c r="M35" s="142"/>
      <c r="N35" s="142"/>
      <c r="O35" s="142"/>
      <c r="P35" s="154"/>
    </row>
    <row r="36" spans="1:16" ht="15.75" customHeight="1">
      <c r="A36" s="9" t="s">
        <v>504</v>
      </c>
      <c r="B36" s="9" t="s">
        <v>510</v>
      </c>
      <c r="C36" s="45">
        <f t="shared" ref="C36:C37" si="1">VLOOKUP(B36,$A$25:$B$29,2,FALSE)</f>
        <v>250</v>
      </c>
      <c r="D36" s="171" t="s">
        <v>520</v>
      </c>
      <c r="E36" s="144"/>
      <c r="F36" s="145"/>
      <c r="H36" s="153"/>
      <c r="I36" s="142"/>
      <c r="J36" s="142"/>
      <c r="K36" s="142"/>
      <c r="L36" s="142"/>
      <c r="M36" s="142"/>
      <c r="N36" s="142"/>
      <c r="O36" s="142"/>
      <c r="P36" s="154"/>
    </row>
    <row r="37" spans="1:16" ht="15.75" customHeight="1">
      <c r="A37" s="9" t="s">
        <v>504</v>
      </c>
      <c r="B37" s="9" t="s">
        <v>511</v>
      </c>
      <c r="C37" s="45">
        <f t="shared" si="1"/>
        <v>300</v>
      </c>
      <c r="D37" s="171" t="s">
        <v>521</v>
      </c>
      <c r="E37" s="144"/>
      <c r="F37" s="145"/>
      <c r="H37" s="153"/>
      <c r="I37" s="142"/>
      <c r="J37" s="142"/>
      <c r="K37" s="142"/>
      <c r="L37" s="142"/>
      <c r="M37" s="142"/>
      <c r="N37" s="142"/>
      <c r="O37" s="142"/>
      <c r="P37" s="154"/>
    </row>
    <row r="38" spans="1:16" ht="15.75" customHeight="1">
      <c r="A38" s="9" t="s">
        <v>505</v>
      </c>
      <c r="B38" s="9" t="s">
        <v>507</v>
      </c>
      <c r="C38" s="45">
        <f t="shared" ref="C38:C39" si="2">VLOOKUP(B38,$A$25:$C$29,3,FALSE)</f>
        <v>2000</v>
      </c>
      <c r="D38" s="171" t="s">
        <v>522</v>
      </c>
      <c r="E38" s="144"/>
      <c r="F38" s="145"/>
      <c r="H38" s="153"/>
      <c r="I38" s="142"/>
      <c r="J38" s="142"/>
      <c r="K38" s="142"/>
      <c r="L38" s="142"/>
      <c r="M38" s="142"/>
      <c r="N38" s="142"/>
      <c r="O38" s="142"/>
      <c r="P38" s="154"/>
    </row>
    <row r="39" spans="1:16" ht="15.75" customHeight="1">
      <c r="A39" s="9" t="s">
        <v>505</v>
      </c>
      <c r="B39" s="9" t="s">
        <v>508</v>
      </c>
      <c r="C39" s="45">
        <f t="shared" si="2"/>
        <v>4999</v>
      </c>
      <c r="D39" s="171" t="s">
        <v>523</v>
      </c>
      <c r="E39" s="144"/>
      <c r="F39" s="145"/>
      <c r="H39" s="155"/>
      <c r="I39" s="156"/>
      <c r="J39" s="156"/>
      <c r="K39" s="156"/>
      <c r="L39" s="156"/>
      <c r="M39" s="156"/>
      <c r="N39" s="156"/>
      <c r="O39" s="156"/>
      <c r="P39" s="157"/>
    </row>
    <row r="40" spans="1:16" ht="15.75" customHeight="1"/>
    <row r="41" spans="1:16" ht="15.75" customHeight="1"/>
    <row r="42" spans="1:16" ht="15.75" customHeight="1">
      <c r="A42" s="6" t="s">
        <v>52</v>
      </c>
    </row>
    <row r="43" spans="1:16" ht="15.75" customHeight="1">
      <c r="A43" s="141" t="s">
        <v>524</v>
      </c>
      <c r="B43" s="142"/>
      <c r="C43" s="142"/>
      <c r="D43" s="142"/>
      <c r="E43" s="142"/>
      <c r="F43" s="142"/>
      <c r="G43" s="142"/>
      <c r="H43" s="142"/>
      <c r="I43" s="142"/>
      <c r="J43" s="142"/>
    </row>
    <row r="44" spans="1:16" ht="15.75" customHeight="1">
      <c r="A44" s="142"/>
      <c r="B44" s="142"/>
      <c r="C44" s="142"/>
      <c r="D44" s="142"/>
      <c r="E44" s="142"/>
      <c r="F44" s="142"/>
      <c r="G44" s="142"/>
      <c r="H44" s="142"/>
      <c r="I44" s="142"/>
      <c r="J44" s="142"/>
    </row>
    <row r="45" spans="1:16" ht="15.75" customHeight="1">
      <c r="A45" s="173" t="s">
        <v>525</v>
      </c>
      <c r="B45" s="145"/>
      <c r="C45" s="7"/>
      <c r="D45" s="173" t="s">
        <v>526</v>
      </c>
      <c r="E45" s="145"/>
      <c r="F45" s="7"/>
      <c r="G45" s="7"/>
      <c r="H45" s="7"/>
      <c r="I45" s="7"/>
      <c r="J45" s="7"/>
    </row>
    <row r="46" spans="1:16" ht="15.75" customHeight="1">
      <c r="A46" s="8" t="s">
        <v>527</v>
      </c>
      <c r="B46" s="8" t="s">
        <v>514</v>
      </c>
      <c r="D46" s="8" t="s">
        <v>527</v>
      </c>
      <c r="E46" s="8" t="s">
        <v>528</v>
      </c>
    </row>
    <row r="47" spans="1:16" ht="15.75" customHeight="1">
      <c r="A47" s="9" t="s">
        <v>529</v>
      </c>
      <c r="B47" s="46">
        <v>5.0999999999999996</v>
      </c>
      <c r="D47" s="9" t="s">
        <v>529</v>
      </c>
      <c r="E47" s="46">
        <v>7.5</v>
      </c>
    </row>
    <row r="48" spans="1:16" ht="15.75" customHeight="1">
      <c r="A48" s="9" t="s">
        <v>530</v>
      </c>
      <c r="B48" s="46">
        <v>1.1000000000000001</v>
      </c>
      <c r="D48" s="9" t="s">
        <v>530</v>
      </c>
      <c r="E48" s="46">
        <v>1.1499999999999999</v>
      </c>
    </row>
    <row r="49" spans="1:11" ht="15.75" customHeight="1">
      <c r="A49" s="9" t="s">
        <v>531</v>
      </c>
      <c r="B49" s="46">
        <v>1.5</v>
      </c>
      <c r="D49" s="9" t="s">
        <v>531</v>
      </c>
      <c r="E49" s="46">
        <v>2.5</v>
      </c>
    </row>
    <row r="50" spans="1:11" ht="15.75" customHeight="1">
      <c r="A50" s="9" t="s">
        <v>532</v>
      </c>
      <c r="B50" s="46">
        <v>2.5</v>
      </c>
      <c r="D50" s="9" t="s">
        <v>532</v>
      </c>
      <c r="E50" s="46">
        <v>3.75</v>
      </c>
    </row>
    <row r="51" spans="1:11" ht="15.75" customHeight="1"/>
    <row r="52" spans="1:11" ht="15.75" customHeight="1">
      <c r="A52" s="143" t="s">
        <v>533</v>
      </c>
      <c r="B52" s="144"/>
      <c r="C52" s="144"/>
      <c r="D52" s="144"/>
      <c r="E52" s="144"/>
      <c r="F52" s="144"/>
      <c r="G52" s="144"/>
      <c r="H52" s="144"/>
      <c r="I52" s="144"/>
      <c r="J52" s="144"/>
      <c r="K52" s="145"/>
    </row>
    <row r="53" spans="1:11" ht="15.75" customHeight="1">
      <c r="A53" s="8" t="s">
        <v>527</v>
      </c>
      <c r="B53" s="8" t="s">
        <v>534</v>
      </c>
      <c r="C53" s="8" t="s">
        <v>514</v>
      </c>
      <c r="D53" s="8" t="s">
        <v>528</v>
      </c>
      <c r="E53" s="8" t="s">
        <v>535</v>
      </c>
      <c r="F53" s="143" t="s">
        <v>536</v>
      </c>
      <c r="G53" s="144"/>
      <c r="H53" s="145"/>
      <c r="I53" s="143" t="s">
        <v>537</v>
      </c>
      <c r="J53" s="144"/>
      <c r="K53" s="145"/>
    </row>
    <row r="54" spans="1:11" ht="15.75" customHeight="1">
      <c r="A54" s="9" t="s">
        <v>529</v>
      </c>
      <c r="B54" s="37">
        <v>500</v>
      </c>
      <c r="C54" s="47">
        <f t="shared" ref="C54:C58" si="3">VLOOKUP(A54,$A$47:$B$50,2,FALSE)</f>
        <v>5.0999999999999996</v>
      </c>
      <c r="D54" s="48">
        <f t="shared" ref="D54:D58" si="4">VLOOKUP(A54,$D$47:$E$50,2,FALSE)</f>
        <v>7.5</v>
      </c>
      <c r="E54" s="46">
        <f t="shared" ref="E54:E57" si="5">(D54-C54)*B54</f>
        <v>1200.0000000000002</v>
      </c>
      <c r="F54" s="174" t="s">
        <v>538</v>
      </c>
      <c r="G54" s="144"/>
      <c r="H54" s="145"/>
      <c r="I54" s="171" t="s">
        <v>539</v>
      </c>
      <c r="J54" s="144"/>
      <c r="K54" s="145"/>
    </row>
    <row r="55" spans="1:11" ht="15.75" customHeight="1">
      <c r="A55" s="9" t="s">
        <v>530</v>
      </c>
      <c r="B55" s="37">
        <v>100</v>
      </c>
      <c r="C55" s="47">
        <f t="shared" si="3"/>
        <v>1.1000000000000001</v>
      </c>
      <c r="D55" s="48">
        <f t="shared" si="4"/>
        <v>1.1499999999999999</v>
      </c>
      <c r="E55" s="46">
        <f t="shared" si="5"/>
        <v>4.9999999999999822</v>
      </c>
      <c r="F55" s="174" t="s">
        <v>540</v>
      </c>
      <c r="G55" s="144"/>
      <c r="H55" s="145"/>
      <c r="I55" s="171" t="s">
        <v>541</v>
      </c>
      <c r="J55" s="144"/>
      <c r="K55" s="145"/>
    </row>
    <row r="56" spans="1:11" ht="15.75" customHeight="1">
      <c r="A56" s="9" t="s">
        <v>531</v>
      </c>
      <c r="B56" s="37">
        <v>250</v>
      </c>
      <c r="C56" s="47">
        <f t="shared" si="3"/>
        <v>1.5</v>
      </c>
      <c r="D56" s="48">
        <f t="shared" si="4"/>
        <v>2.5</v>
      </c>
      <c r="E56" s="46">
        <f t="shared" si="5"/>
        <v>250</v>
      </c>
      <c r="F56" s="174" t="s">
        <v>542</v>
      </c>
      <c r="G56" s="144"/>
      <c r="H56" s="145"/>
      <c r="I56" s="171" t="s">
        <v>543</v>
      </c>
      <c r="J56" s="144"/>
      <c r="K56" s="145"/>
    </row>
    <row r="57" spans="1:11" ht="15.75" customHeight="1">
      <c r="A57" s="9" t="s">
        <v>532</v>
      </c>
      <c r="B57" s="37">
        <v>100</v>
      </c>
      <c r="C57" s="47">
        <f t="shared" si="3"/>
        <v>2.5</v>
      </c>
      <c r="D57" s="48">
        <f t="shared" si="4"/>
        <v>3.75</v>
      </c>
      <c r="E57" s="46">
        <f t="shared" si="5"/>
        <v>125</v>
      </c>
      <c r="F57" s="174" t="s">
        <v>544</v>
      </c>
      <c r="G57" s="144"/>
      <c r="H57" s="145"/>
      <c r="I57" s="171" t="s">
        <v>545</v>
      </c>
      <c r="J57" s="144"/>
      <c r="K57" s="145"/>
    </row>
    <row r="58" spans="1:11" ht="15.75" customHeight="1">
      <c r="A58" s="9" t="s">
        <v>546</v>
      </c>
      <c r="B58" s="37">
        <v>990</v>
      </c>
      <c r="C58" s="47" t="e">
        <f t="shared" si="3"/>
        <v>#N/A</v>
      </c>
      <c r="D58" s="48" t="e">
        <f t="shared" si="4"/>
        <v>#N/A</v>
      </c>
      <c r="E58" s="46"/>
      <c r="F58" s="174" t="s">
        <v>547</v>
      </c>
      <c r="G58" s="144"/>
      <c r="H58" s="145"/>
      <c r="I58" s="171" t="s">
        <v>548</v>
      </c>
      <c r="J58" s="144"/>
      <c r="K58" s="145"/>
    </row>
    <row r="59" spans="1:11" ht="15.75" customHeight="1">
      <c r="A59" s="49" t="s">
        <v>549</v>
      </c>
    </row>
    <row r="60" spans="1:11" ht="15.75" customHeight="1"/>
    <row r="61" spans="1:11" ht="15.75" customHeight="1"/>
    <row r="62" spans="1:11" ht="15.75" customHeight="1"/>
    <row r="63" spans="1:11" ht="15" customHeight="1">
      <c r="B63" s="150" t="s">
        <v>550</v>
      </c>
      <c r="C63" s="151"/>
      <c r="D63" s="152"/>
    </row>
    <row r="64" spans="1:11" ht="15.75" customHeight="1">
      <c r="B64" s="153"/>
      <c r="C64" s="142"/>
      <c r="D64" s="154"/>
    </row>
    <row r="65" spans="1:10" ht="15.75" customHeight="1">
      <c r="B65" s="153"/>
      <c r="C65" s="142"/>
      <c r="D65" s="154"/>
    </row>
    <row r="66" spans="1:10" ht="15.75" customHeight="1">
      <c r="B66" s="155"/>
      <c r="C66" s="156"/>
      <c r="D66" s="157"/>
    </row>
    <row r="67" spans="1:10" ht="15.75" customHeight="1"/>
    <row r="68" spans="1:10" ht="15.75" customHeight="1"/>
    <row r="69" spans="1:10" ht="15.75" customHeight="1">
      <c r="A69" s="6" t="s">
        <v>289</v>
      </c>
    </row>
    <row r="70" spans="1:10" ht="15.75" customHeight="1">
      <c r="A70" s="141" t="s">
        <v>551</v>
      </c>
      <c r="B70" s="142"/>
      <c r="C70" s="142"/>
      <c r="D70" s="142"/>
      <c r="E70" s="142"/>
      <c r="F70" s="142"/>
      <c r="G70" s="142"/>
      <c r="H70" s="142"/>
      <c r="I70" s="142"/>
      <c r="J70" s="142"/>
    </row>
    <row r="71" spans="1:10" ht="15.75" customHeight="1">
      <c r="A71" s="142"/>
      <c r="B71" s="142"/>
      <c r="C71" s="142"/>
      <c r="D71" s="142"/>
      <c r="E71" s="142"/>
      <c r="F71" s="142"/>
      <c r="G71" s="142"/>
      <c r="H71" s="142"/>
      <c r="I71" s="142"/>
      <c r="J71" s="142"/>
    </row>
    <row r="72" spans="1:10" ht="15.75" customHeight="1">
      <c r="A72" s="173" t="s">
        <v>525</v>
      </c>
      <c r="B72" s="145"/>
      <c r="C72" s="7"/>
      <c r="D72" s="173" t="s">
        <v>526</v>
      </c>
      <c r="E72" s="145"/>
      <c r="F72" s="7"/>
      <c r="G72" s="173" t="s">
        <v>533</v>
      </c>
      <c r="H72" s="145"/>
      <c r="I72" s="7"/>
      <c r="J72" s="7"/>
    </row>
    <row r="73" spans="1:10" ht="15.75" customHeight="1">
      <c r="A73" s="8" t="s">
        <v>552</v>
      </c>
      <c r="B73" s="8" t="s">
        <v>30</v>
      </c>
      <c r="D73" s="8" t="s">
        <v>552</v>
      </c>
      <c r="E73" s="8" t="s">
        <v>31</v>
      </c>
      <c r="G73" s="8" t="s">
        <v>552</v>
      </c>
      <c r="H73" s="8" t="s">
        <v>553</v>
      </c>
    </row>
    <row r="74" spans="1:10" ht="15.75" customHeight="1">
      <c r="A74" s="9" t="s">
        <v>554</v>
      </c>
      <c r="B74" s="50" t="s">
        <v>33</v>
      </c>
      <c r="D74" s="9" t="s">
        <v>554</v>
      </c>
      <c r="E74" s="50">
        <v>85000</v>
      </c>
      <c r="G74" s="9" t="s">
        <v>554</v>
      </c>
      <c r="H74" s="50" t="s">
        <v>555</v>
      </c>
    </row>
    <row r="75" spans="1:10" ht="15.75" customHeight="1">
      <c r="A75" s="9" t="s">
        <v>556</v>
      </c>
      <c r="B75" s="50" t="s">
        <v>557</v>
      </c>
      <c r="D75" s="9" t="s">
        <v>556</v>
      </c>
      <c r="E75" s="50">
        <v>60000</v>
      </c>
      <c r="G75" s="9" t="s">
        <v>556</v>
      </c>
      <c r="H75" s="50" t="s">
        <v>555</v>
      </c>
    </row>
    <row r="76" spans="1:10" ht="15.75" customHeight="1">
      <c r="A76" s="9" t="s">
        <v>558</v>
      </c>
      <c r="B76" s="50" t="s">
        <v>33</v>
      </c>
      <c r="D76" s="9" t="s">
        <v>558</v>
      </c>
      <c r="E76" s="50">
        <v>65000</v>
      </c>
      <c r="G76" s="9" t="s">
        <v>558</v>
      </c>
      <c r="H76" s="50" t="s">
        <v>559</v>
      </c>
    </row>
    <row r="77" spans="1:10" ht="15.75" customHeight="1">
      <c r="A77" s="9" t="s">
        <v>560</v>
      </c>
      <c r="B77" s="50" t="s">
        <v>35</v>
      </c>
      <c r="D77" s="9" t="s">
        <v>560</v>
      </c>
      <c r="E77" s="50">
        <v>50000</v>
      </c>
      <c r="G77" s="9" t="s">
        <v>560</v>
      </c>
      <c r="H77" s="50" t="s">
        <v>561</v>
      </c>
    </row>
    <row r="78" spans="1:10" ht="15.75" customHeight="1">
      <c r="A78" s="9" t="s">
        <v>562</v>
      </c>
      <c r="B78" s="50" t="s">
        <v>35</v>
      </c>
      <c r="D78" s="9" t="s">
        <v>562</v>
      </c>
      <c r="E78" s="50">
        <v>45000</v>
      </c>
      <c r="G78" s="9" t="s">
        <v>562</v>
      </c>
      <c r="H78" s="50" t="s">
        <v>559</v>
      </c>
    </row>
    <row r="79" spans="1:10" ht="15.75" customHeight="1"/>
    <row r="80" spans="1:10" ht="15.75" customHeight="1"/>
    <row r="81" spans="1:6" ht="15.75" customHeight="1">
      <c r="A81" s="143" t="s">
        <v>563</v>
      </c>
      <c r="B81" s="144"/>
      <c r="C81" s="144"/>
      <c r="D81" s="145"/>
    </row>
    <row r="82" spans="1:6" ht="15.75" customHeight="1">
      <c r="A82" s="8" t="s">
        <v>552</v>
      </c>
      <c r="B82" s="8" t="s">
        <v>30</v>
      </c>
      <c r="C82" s="8" t="s">
        <v>31</v>
      </c>
      <c r="D82" s="8" t="s">
        <v>553</v>
      </c>
    </row>
    <row r="83" spans="1:6" ht="15.75" customHeight="1">
      <c r="A83" s="9" t="s">
        <v>560</v>
      </c>
      <c r="B83" s="51" t="str">
        <f t="shared" ref="B83:B88" si="6">VLOOKUP(A83, $A$74:$B$78, 2, FALSE)</f>
        <v>Analyst</v>
      </c>
      <c r="C83" s="50">
        <f t="shared" ref="C83:C88" si="7">VLOOKUP(A83, $D$74:$E$78, 2, FALSE)</f>
        <v>50000</v>
      </c>
      <c r="D83" s="51" t="str">
        <f t="shared" ref="D83:D88" si="8">VLOOKUP(A83, $G$74:$H$78, 2, FALSE)</f>
        <v>HR</v>
      </c>
    </row>
    <row r="84" spans="1:6" ht="15.75" customHeight="1">
      <c r="A84" s="9" t="s">
        <v>562</v>
      </c>
      <c r="B84" s="51" t="str">
        <f t="shared" si="6"/>
        <v>Analyst</v>
      </c>
      <c r="C84" s="50">
        <f t="shared" si="7"/>
        <v>45000</v>
      </c>
      <c r="D84" s="51" t="str">
        <f t="shared" si="8"/>
        <v>IT</v>
      </c>
    </row>
    <row r="85" spans="1:6" ht="15.75" customHeight="1">
      <c r="A85" s="9" t="s">
        <v>558</v>
      </c>
      <c r="B85" s="51" t="str">
        <f t="shared" si="6"/>
        <v>AVP</v>
      </c>
      <c r="C85" s="50">
        <f t="shared" si="7"/>
        <v>65000</v>
      </c>
      <c r="D85" s="51" t="str">
        <f t="shared" si="8"/>
        <v>IT</v>
      </c>
    </row>
    <row r="86" spans="1:6" ht="15.75" customHeight="1">
      <c r="A86" s="9" t="s">
        <v>554</v>
      </c>
      <c r="B86" s="51" t="str">
        <f t="shared" si="6"/>
        <v>AVP</v>
      </c>
      <c r="C86" s="50">
        <f t="shared" si="7"/>
        <v>85000</v>
      </c>
      <c r="D86" s="51" t="str">
        <f t="shared" si="8"/>
        <v>Analytics</v>
      </c>
    </row>
    <row r="87" spans="1:6" ht="15.75" customHeight="1">
      <c r="A87" s="9" t="s">
        <v>564</v>
      </c>
      <c r="B87" s="15" t="e">
        <f t="shared" si="6"/>
        <v>#N/A</v>
      </c>
      <c r="C87" s="50" t="e">
        <f t="shared" si="7"/>
        <v>#N/A</v>
      </c>
      <c r="D87" s="15" t="e">
        <f t="shared" si="8"/>
        <v>#N/A</v>
      </c>
    </row>
    <row r="88" spans="1:6" ht="15.75" customHeight="1">
      <c r="A88" s="9" t="s">
        <v>556</v>
      </c>
      <c r="B88" s="51" t="str">
        <f t="shared" si="6"/>
        <v>Analayst</v>
      </c>
      <c r="C88" s="50">
        <f t="shared" si="7"/>
        <v>60000</v>
      </c>
      <c r="D88" s="51" t="str">
        <f t="shared" si="8"/>
        <v>Analytics</v>
      </c>
    </row>
    <row r="89" spans="1:6" ht="15.75" customHeight="1"/>
    <row r="90" spans="1:6" ht="15.75" customHeight="1"/>
    <row r="91" spans="1:6" ht="15.75" customHeight="1">
      <c r="A91" s="6" t="s">
        <v>292</v>
      </c>
    </row>
    <row r="92" spans="1:6" ht="15.75" customHeight="1">
      <c r="A92" s="34" t="s">
        <v>565</v>
      </c>
    </row>
    <row r="93" spans="1:6" ht="15" customHeight="1">
      <c r="A93" s="8" t="s">
        <v>503</v>
      </c>
      <c r="B93" s="8" t="s">
        <v>507</v>
      </c>
      <c r="C93" s="8" t="s">
        <v>508</v>
      </c>
      <c r="D93" s="8" t="s">
        <v>509</v>
      </c>
      <c r="E93" s="8" t="s">
        <v>510</v>
      </c>
      <c r="F93" s="8" t="s">
        <v>511</v>
      </c>
    </row>
    <row r="94" spans="1:6" ht="15.75" customHeight="1">
      <c r="A94" s="9" t="s">
        <v>504</v>
      </c>
      <c r="B94" s="43">
        <v>2500</v>
      </c>
      <c r="C94" s="43">
        <v>5000</v>
      </c>
      <c r="D94" s="43">
        <v>1250</v>
      </c>
      <c r="E94" s="43">
        <v>250</v>
      </c>
      <c r="F94" s="43">
        <v>300</v>
      </c>
    </row>
    <row r="95" spans="1:6" ht="15.75" customHeight="1">
      <c r="A95" s="9" t="s">
        <v>505</v>
      </c>
      <c r="B95" s="43">
        <v>2000</v>
      </c>
      <c r="C95" s="43">
        <v>4999</v>
      </c>
      <c r="D95" s="43">
        <v>1302</v>
      </c>
      <c r="E95" s="43">
        <v>300</v>
      </c>
      <c r="F95" s="43">
        <v>290</v>
      </c>
    </row>
    <row r="96" spans="1:6" ht="15.75" customHeight="1">
      <c r="A96" s="9" t="s">
        <v>506</v>
      </c>
      <c r="B96" s="43">
        <v>3000</v>
      </c>
      <c r="C96" s="43">
        <v>5200</v>
      </c>
      <c r="D96" s="43">
        <v>1100</v>
      </c>
      <c r="E96" s="43">
        <v>200</v>
      </c>
      <c r="F96" s="43">
        <v>310</v>
      </c>
    </row>
    <row r="97" spans="1:9" ht="15.75" customHeight="1"/>
    <row r="98" spans="1:9" ht="15.75" customHeight="1">
      <c r="A98" s="8" t="s">
        <v>512</v>
      </c>
      <c r="B98" s="9" t="s">
        <v>504</v>
      </c>
      <c r="C98" s="9" t="s">
        <v>505</v>
      </c>
      <c r="D98" s="9" t="s">
        <v>506</v>
      </c>
      <c r="E98" s="9" t="s">
        <v>506</v>
      </c>
      <c r="F98" s="9" t="s">
        <v>504</v>
      </c>
      <c r="G98" s="9" t="s">
        <v>504</v>
      </c>
      <c r="H98" s="9" t="s">
        <v>505</v>
      </c>
      <c r="I98" s="9" t="s">
        <v>505</v>
      </c>
    </row>
    <row r="99" spans="1:9" ht="15.75" customHeight="1">
      <c r="A99" s="8" t="s">
        <v>513</v>
      </c>
      <c r="B99" s="9" t="s">
        <v>511</v>
      </c>
      <c r="C99" s="9" t="s">
        <v>507</v>
      </c>
      <c r="D99" s="9" t="s">
        <v>566</v>
      </c>
      <c r="E99" s="9" t="s">
        <v>509</v>
      </c>
      <c r="F99" s="9" t="s">
        <v>510</v>
      </c>
      <c r="G99" s="9" t="s">
        <v>508</v>
      </c>
      <c r="H99" s="9" t="s">
        <v>507</v>
      </c>
      <c r="I99" s="9" t="s">
        <v>508</v>
      </c>
    </row>
    <row r="100" spans="1:9" ht="15.75" customHeight="1">
      <c r="A100" s="8" t="s">
        <v>567</v>
      </c>
      <c r="B100" s="43">
        <f>VLOOKUP(B98, $A$94:$F$96, 6, FALSE)</f>
        <v>300</v>
      </c>
      <c r="C100" s="43">
        <f t="shared" ref="C100:D100" si="9">VLOOKUP(C98, $A$94:$F$96, 2, FALSE)</f>
        <v>2000</v>
      </c>
      <c r="D100" s="43">
        <f t="shared" si="9"/>
        <v>3000</v>
      </c>
      <c r="E100" s="43">
        <f>VLOOKUP(E98, $A$94:$F$96, 4, FALSE)</f>
        <v>1100</v>
      </c>
      <c r="F100" s="43">
        <f>VLOOKUP(F98, $A$94:$F$96, 5, FALSE)</f>
        <v>250</v>
      </c>
      <c r="G100" s="43">
        <f>VLOOKUP(G98, $A$94:$F$96, 3, FALSE)</f>
        <v>5000</v>
      </c>
      <c r="H100" s="43">
        <f>VLOOKUP(H98, $A$94:$F$96, 2, FALSE)</f>
        <v>2000</v>
      </c>
      <c r="I100" s="43">
        <f>VLOOKUP(I98, $A$94:$F$96, 3, FALSE)</f>
        <v>4999</v>
      </c>
    </row>
    <row r="101" spans="1:9" ht="15.75" customHeight="1"/>
    <row r="102" spans="1:9" ht="15.75" customHeight="1"/>
    <row r="103" spans="1:9" ht="15.75" customHeight="1"/>
    <row r="104" spans="1:9" ht="15.75" customHeight="1"/>
    <row r="105" spans="1:9" ht="15.75" customHeight="1"/>
    <row r="106" spans="1:9" ht="15.75" customHeight="1"/>
    <row r="107" spans="1:9" ht="15.75" customHeight="1"/>
    <row r="108" spans="1:9" ht="15.75" customHeight="1"/>
    <row r="109" spans="1:9" ht="15.75" customHeight="1"/>
    <row r="110" spans="1:9" ht="15.75" customHeight="1"/>
    <row r="111" spans="1:9" ht="15.75" customHeight="1"/>
    <row r="112" spans="1:9"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D72:E72"/>
    <mergeCell ref="G72:H72"/>
    <mergeCell ref="A81:D81"/>
    <mergeCell ref="F57:H57"/>
    <mergeCell ref="I57:K57"/>
    <mergeCell ref="F58:H58"/>
    <mergeCell ref="I58:K58"/>
    <mergeCell ref="B63:D66"/>
    <mergeCell ref="A70:J71"/>
    <mergeCell ref="A72:B72"/>
    <mergeCell ref="F54:H54"/>
    <mergeCell ref="I54:K54"/>
    <mergeCell ref="F55:H55"/>
    <mergeCell ref="I55:K55"/>
    <mergeCell ref="F56:H56"/>
    <mergeCell ref="I56:K56"/>
    <mergeCell ref="A43:J44"/>
    <mergeCell ref="A45:B45"/>
    <mergeCell ref="D45:E45"/>
    <mergeCell ref="A52:K52"/>
    <mergeCell ref="I53:K53"/>
    <mergeCell ref="F53:H53"/>
    <mergeCell ref="D34:F34"/>
    <mergeCell ref="D35:F35"/>
    <mergeCell ref="D36:F36"/>
    <mergeCell ref="D37:F37"/>
    <mergeCell ref="A1:C1"/>
    <mergeCell ref="A4:I4"/>
    <mergeCell ref="A13:J14"/>
    <mergeCell ref="D31:F31"/>
    <mergeCell ref="H31:P39"/>
    <mergeCell ref="D32:F32"/>
    <mergeCell ref="D33:F33"/>
    <mergeCell ref="D38:F38"/>
    <mergeCell ref="D39:F39"/>
  </mergeCells>
  <pageMargins left="0.7" right="0.7" top="0.75" bottom="0.75" header="0" footer="0"/>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00"/>
  <sheetViews>
    <sheetView showGridLines="0" topLeftCell="A25" workbookViewId="0">
      <selection sqref="A1:C1"/>
    </sheetView>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1.140625" customWidth="1"/>
    <col min="12" max="16" width="8.7109375" customWidth="1"/>
  </cols>
  <sheetData>
    <row r="1" spans="1:11" ht="31.5">
      <c r="A1" s="161" t="s">
        <v>568</v>
      </c>
      <c r="B1" s="149"/>
      <c r="C1" s="149"/>
      <c r="D1" s="2"/>
      <c r="E1" s="2"/>
      <c r="F1" s="2"/>
      <c r="G1" s="2"/>
      <c r="H1" s="2"/>
      <c r="I1" s="2"/>
      <c r="J1" s="2"/>
      <c r="K1" s="2"/>
    </row>
    <row r="3" spans="1:11" ht="18.75">
      <c r="A3" s="3" t="s">
        <v>1</v>
      </c>
    </row>
    <row r="4" spans="1:11" ht="15" customHeight="1">
      <c r="A4" s="162" t="s">
        <v>569</v>
      </c>
      <c r="B4" s="142"/>
      <c r="C4" s="142"/>
      <c r="D4" s="142"/>
      <c r="E4" s="142"/>
      <c r="F4" s="142"/>
      <c r="G4" s="142"/>
      <c r="H4" s="142"/>
      <c r="I4" s="142"/>
    </row>
    <row r="5" spans="1:11" ht="15" customHeight="1">
      <c r="A5" s="142"/>
      <c r="B5" s="142"/>
      <c r="C5" s="142"/>
      <c r="D5" s="142"/>
      <c r="E5" s="142"/>
      <c r="F5" s="142"/>
      <c r="G5" s="142"/>
      <c r="H5" s="142"/>
      <c r="I5" s="142"/>
    </row>
    <row r="6" spans="1:11">
      <c r="A6" s="32"/>
      <c r="B6" s="32"/>
      <c r="C6" s="32"/>
      <c r="D6" s="32"/>
      <c r="E6" s="32"/>
      <c r="F6" s="32"/>
      <c r="G6" s="32"/>
      <c r="H6" s="32"/>
      <c r="I6" s="32"/>
    </row>
    <row r="7" spans="1:11" ht="18.75">
      <c r="A7" s="3" t="s">
        <v>3</v>
      </c>
    </row>
    <row r="8" spans="1:11" ht="15.75">
      <c r="A8" s="5" t="s">
        <v>570</v>
      </c>
    </row>
    <row r="10" spans="1:11" ht="15.75">
      <c r="A10" s="6" t="s">
        <v>494</v>
      </c>
    </row>
    <row r="11" spans="1:11">
      <c r="A11" s="4" t="s">
        <v>495</v>
      </c>
    </row>
    <row r="12" spans="1:11">
      <c r="A12" s="42"/>
    </row>
    <row r="13" spans="1:11" ht="15.75">
      <c r="A13" s="6" t="s">
        <v>496</v>
      </c>
    </row>
    <row r="14" spans="1:11">
      <c r="A14" s="141" t="s">
        <v>497</v>
      </c>
      <c r="B14" s="142"/>
      <c r="C14" s="142"/>
      <c r="D14" s="142"/>
      <c r="E14" s="142"/>
      <c r="F14" s="142"/>
      <c r="G14" s="142"/>
      <c r="H14" s="142"/>
      <c r="I14" s="142"/>
      <c r="J14" s="142"/>
    </row>
    <row r="15" spans="1:11" ht="15" customHeight="1">
      <c r="A15" s="142"/>
      <c r="B15" s="142"/>
      <c r="C15" s="142"/>
      <c r="D15" s="142"/>
      <c r="E15" s="142"/>
      <c r="F15" s="142"/>
      <c r="G15" s="142"/>
      <c r="H15" s="142"/>
      <c r="I15" s="142"/>
      <c r="J15" s="142"/>
    </row>
    <row r="16" spans="1:11">
      <c r="A16" s="7"/>
      <c r="B16" s="7"/>
      <c r="C16" s="7"/>
      <c r="D16" s="7"/>
      <c r="E16" s="7"/>
      <c r="F16" s="7"/>
      <c r="G16" s="7"/>
      <c r="H16" s="7"/>
      <c r="I16" s="7"/>
      <c r="J16" s="7"/>
    </row>
    <row r="17" spans="1:16" ht="15.75">
      <c r="A17" s="6" t="s">
        <v>571</v>
      </c>
    </row>
    <row r="18" spans="1:16">
      <c r="A18" s="4" t="s">
        <v>572</v>
      </c>
    </row>
    <row r="19" spans="1:16">
      <c r="A19" s="42"/>
    </row>
    <row r="20" spans="1:16" ht="15.75">
      <c r="A20" s="6" t="s">
        <v>500</v>
      </c>
    </row>
    <row r="21" spans="1:16" ht="15.75" customHeight="1">
      <c r="A21" s="4" t="s">
        <v>573</v>
      </c>
    </row>
    <row r="22" spans="1:16" ht="15.75" customHeight="1">
      <c r="A22" s="42"/>
    </row>
    <row r="23" spans="1:16" ht="15.75" customHeight="1">
      <c r="A23" s="6" t="s">
        <v>11</v>
      </c>
    </row>
    <row r="24" spans="1:16" ht="15.75" customHeight="1">
      <c r="A24" s="34" t="s">
        <v>574</v>
      </c>
    </row>
    <row r="25" spans="1:16" ht="15.75" customHeight="1">
      <c r="A25" s="8" t="s">
        <v>575</v>
      </c>
      <c r="B25" s="8" t="s">
        <v>504</v>
      </c>
      <c r="C25" s="8" t="s">
        <v>505</v>
      </c>
      <c r="D25" s="8" t="s">
        <v>506</v>
      </c>
      <c r="E25" s="8" t="s">
        <v>576</v>
      </c>
      <c r="F25" s="8" t="s">
        <v>577</v>
      </c>
    </row>
    <row r="26" spans="1:16" ht="15.75" customHeight="1">
      <c r="A26" s="9" t="s">
        <v>578</v>
      </c>
      <c r="B26" s="43">
        <v>500</v>
      </c>
      <c r="C26" s="43">
        <v>450</v>
      </c>
      <c r="D26" s="43">
        <v>550</v>
      </c>
      <c r="E26" s="43">
        <v>200</v>
      </c>
      <c r="F26" s="43">
        <v>1000</v>
      </c>
    </row>
    <row r="27" spans="1:16" ht="15.75" customHeight="1">
      <c r="A27" s="44"/>
      <c r="B27" s="44"/>
      <c r="C27" s="44"/>
      <c r="D27" s="44"/>
    </row>
    <row r="28" spans="1:16" ht="15" customHeight="1">
      <c r="A28" s="8" t="s">
        <v>579</v>
      </c>
      <c r="B28" s="8" t="s">
        <v>512</v>
      </c>
      <c r="C28" s="8" t="s">
        <v>578</v>
      </c>
      <c r="D28" s="143" t="s">
        <v>16</v>
      </c>
      <c r="E28" s="144"/>
      <c r="F28" s="145"/>
      <c r="H28" s="172" t="s">
        <v>580</v>
      </c>
      <c r="I28" s="151"/>
      <c r="J28" s="151"/>
      <c r="K28" s="151"/>
      <c r="L28" s="151"/>
      <c r="M28" s="151"/>
      <c r="N28" s="151"/>
      <c r="O28" s="151"/>
      <c r="P28" s="152"/>
    </row>
    <row r="29" spans="1:16" ht="15.75" customHeight="1">
      <c r="A29" s="9" t="s">
        <v>554</v>
      </c>
      <c r="B29" s="9" t="s">
        <v>504</v>
      </c>
      <c r="C29" s="45">
        <f t="shared" ref="C29:C36" si="0">HLOOKUP(B29,$B$25:$F$26,2,FALSE)</f>
        <v>500</v>
      </c>
      <c r="D29" s="171" t="s">
        <v>581</v>
      </c>
      <c r="E29" s="144"/>
      <c r="F29" s="145"/>
      <c r="H29" s="153"/>
      <c r="I29" s="142"/>
      <c r="J29" s="142"/>
      <c r="K29" s="142"/>
      <c r="L29" s="142"/>
      <c r="M29" s="142"/>
      <c r="N29" s="142"/>
      <c r="O29" s="142"/>
      <c r="P29" s="154"/>
    </row>
    <row r="30" spans="1:16" ht="15.75" customHeight="1">
      <c r="A30" s="9" t="s">
        <v>554</v>
      </c>
      <c r="B30" s="9" t="s">
        <v>505</v>
      </c>
      <c r="C30" s="45">
        <f t="shared" si="0"/>
        <v>450</v>
      </c>
      <c r="D30" s="171" t="s">
        <v>582</v>
      </c>
      <c r="E30" s="144"/>
      <c r="F30" s="145"/>
      <c r="H30" s="153"/>
      <c r="I30" s="142"/>
      <c r="J30" s="142"/>
      <c r="K30" s="142"/>
      <c r="L30" s="142"/>
      <c r="M30" s="142"/>
      <c r="N30" s="142"/>
      <c r="O30" s="142"/>
      <c r="P30" s="154"/>
    </row>
    <row r="31" spans="1:16" ht="15.75" customHeight="1">
      <c r="A31" s="9" t="s">
        <v>583</v>
      </c>
      <c r="B31" s="9" t="s">
        <v>506</v>
      </c>
      <c r="C31" s="45">
        <f t="shared" si="0"/>
        <v>550</v>
      </c>
      <c r="D31" s="171" t="s">
        <v>584</v>
      </c>
      <c r="E31" s="144"/>
      <c r="F31" s="145"/>
      <c r="H31" s="153"/>
      <c r="I31" s="142"/>
      <c r="J31" s="142"/>
      <c r="K31" s="142"/>
      <c r="L31" s="142"/>
      <c r="M31" s="142"/>
      <c r="N31" s="142"/>
      <c r="O31" s="142"/>
      <c r="P31" s="154"/>
    </row>
    <row r="32" spans="1:16" ht="15.75" customHeight="1">
      <c r="A32" s="9" t="s">
        <v>585</v>
      </c>
      <c r="B32" s="9" t="s">
        <v>506</v>
      </c>
      <c r="C32" s="45">
        <f t="shared" si="0"/>
        <v>550</v>
      </c>
      <c r="D32" s="171" t="s">
        <v>586</v>
      </c>
      <c r="E32" s="144"/>
      <c r="F32" s="145"/>
      <c r="H32" s="153"/>
      <c r="I32" s="142"/>
      <c r="J32" s="142"/>
      <c r="K32" s="142"/>
      <c r="L32" s="142"/>
      <c r="M32" s="142"/>
      <c r="N32" s="142"/>
      <c r="O32" s="142"/>
      <c r="P32" s="154"/>
    </row>
    <row r="33" spans="1:16" ht="15.75" customHeight="1">
      <c r="A33" s="9" t="s">
        <v>562</v>
      </c>
      <c r="B33" s="9" t="s">
        <v>577</v>
      </c>
      <c r="C33" s="45">
        <f t="shared" si="0"/>
        <v>1000</v>
      </c>
      <c r="D33" s="171" t="s">
        <v>587</v>
      </c>
      <c r="E33" s="144"/>
      <c r="F33" s="145"/>
      <c r="H33" s="153"/>
      <c r="I33" s="142"/>
      <c r="J33" s="142"/>
      <c r="K33" s="142"/>
      <c r="L33" s="142"/>
      <c r="M33" s="142"/>
      <c r="N33" s="142"/>
      <c r="O33" s="142"/>
      <c r="P33" s="154"/>
    </row>
    <row r="34" spans="1:16" ht="15.75" customHeight="1">
      <c r="A34" s="9" t="s">
        <v>562</v>
      </c>
      <c r="B34" s="9" t="s">
        <v>577</v>
      </c>
      <c r="C34" s="45">
        <f t="shared" si="0"/>
        <v>1000</v>
      </c>
      <c r="D34" s="171" t="s">
        <v>588</v>
      </c>
      <c r="E34" s="144"/>
      <c r="F34" s="145"/>
      <c r="H34" s="153"/>
      <c r="I34" s="142"/>
      <c r="J34" s="142"/>
      <c r="K34" s="142"/>
      <c r="L34" s="142"/>
      <c r="M34" s="142"/>
      <c r="N34" s="142"/>
      <c r="O34" s="142"/>
      <c r="P34" s="154"/>
    </row>
    <row r="35" spans="1:16" ht="15.75" customHeight="1">
      <c r="A35" s="9" t="s">
        <v>556</v>
      </c>
      <c r="B35" s="9" t="s">
        <v>505</v>
      </c>
      <c r="C35" s="45">
        <f t="shared" si="0"/>
        <v>450</v>
      </c>
      <c r="D35" s="171" t="s">
        <v>589</v>
      </c>
      <c r="E35" s="144"/>
      <c r="F35" s="145"/>
      <c r="H35" s="153"/>
      <c r="I35" s="142"/>
      <c r="J35" s="142"/>
      <c r="K35" s="142"/>
      <c r="L35" s="142"/>
      <c r="M35" s="142"/>
      <c r="N35" s="142"/>
      <c r="O35" s="142"/>
      <c r="P35" s="154"/>
    </row>
    <row r="36" spans="1:16" ht="15.75" customHeight="1">
      <c r="A36" s="9" t="s">
        <v>590</v>
      </c>
      <c r="B36" s="9" t="s">
        <v>504</v>
      </c>
      <c r="C36" s="45">
        <f t="shared" si="0"/>
        <v>500</v>
      </c>
      <c r="D36" s="171" t="s">
        <v>591</v>
      </c>
      <c r="E36" s="144"/>
      <c r="F36" s="145"/>
      <c r="H36" s="155"/>
      <c r="I36" s="156"/>
      <c r="J36" s="156"/>
      <c r="K36" s="156"/>
      <c r="L36" s="156"/>
      <c r="M36" s="156"/>
      <c r="N36" s="156"/>
      <c r="O36" s="156"/>
      <c r="P36" s="157"/>
    </row>
    <row r="37" spans="1:16" ht="15.75" customHeight="1"/>
    <row r="38" spans="1:16" ht="15.75" customHeight="1"/>
    <row r="39" spans="1:16" ht="15.75" customHeight="1">
      <c r="A39" s="6" t="s">
        <v>27</v>
      </c>
    </row>
    <row r="40" spans="1:16" ht="15.75" customHeight="1">
      <c r="A40" s="141" t="s">
        <v>592</v>
      </c>
      <c r="B40" s="142"/>
      <c r="C40" s="142"/>
      <c r="D40" s="142"/>
      <c r="E40" s="142"/>
      <c r="F40" s="142"/>
      <c r="G40" s="142"/>
      <c r="H40" s="142"/>
      <c r="I40" s="142"/>
      <c r="J40" s="142"/>
    </row>
    <row r="41" spans="1:16" ht="15.75" customHeight="1">
      <c r="A41" s="142"/>
      <c r="B41" s="142"/>
      <c r="C41" s="142"/>
      <c r="D41" s="142"/>
      <c r="E41" s="142"/>
      <c r="F41" s="142"/>
      <c r="G41" s="142"/>
      <c r="H41" s="142"/>
      <c r="I41" s="142"/>
      <c r="J41" s="142"/>
    </row>
    <row r="42" spans="1:16" ht="15" customHeight="1">
      <c r="A42" s="8" t="s">
        <v>503</v>
      </c>
      <c r="B42" s="9" t="s">
        <v>504</v>
      </c>
      <c r="C42" s="9" t="s">
        <v>505</v>
      </c>
      <c r="D42" s="9" t="s">
        <v>506</v>
      </c>
    </row>
    <row r="43" spans="1:16" ht="15.75" customHeight="1">
      <c r="A43" s="8" t="s">
        <v>507</v>
      </c>
      <c r="B43" s="43">
        <v>2500</v>
      </c>
      <c r="C43" s="43">
        <v>2000</v>
      </c>
      <c r="D43" s="43">
        <v>3000</v>
      </c>
    </row>
    <row r="44" spans="1:16" ht="15.75" customHeight="1">
      <c r="A44" s="8" t="s">
        <v>508</v>
      </c>
      <c r="B44" s="43">
        <v>5000</v>
      </c>
      <c r="C44" s="43">
        <v>4999</v>
      </c>
      <c r="D44" s="43">
        <v>5200</v>
      </c>
    </row>
    <row r="45" spans="1:16" ht="15.75" customHeight="1">
      <c r="A45" s="8" t="s">
        <v>509</v>
      </c>
      <c r="B45" s="43">
        <v>1250</v>
      </c>
      <c r="C45" s="43">
        <v>1302</v>
      </c>
      <c r="D45" s="43">
        <v>1100</v>
      </c>
    </row>
    <row r="46" spans="1:16" ht="15.75" customHeight="1">
      <c r="A46" s="8" t="s">
        <v>510</v>
      </c>
      <c r="B46" s="43">
        <v>250</v>
      </c>
      <c r="C46" s="43">
        <v>300</v>
      </c>
      <c r="D46" s="43">
        <v>200</v>
      </c>
    </row>
    <row r="47" spans="1:16" ht="15.75" customHeight="1">
      <c r="A47" s="8" t="s">
        <v>511</v>
      </c>
      <c r="B47" s="43">
        <v>300</v>
      </c>
      <c r="C47" s="43">
        <v>290</v>
      </c>
      <c r="D47" s="43">
        <v>310</v>
      </c>
    </row>
    <row r="48" spans="1:16" ht="15.75" customHeight="1"/>
    <row r="49" spans="1:9" ht="15.75" customHeight="1"/>
    <row r="50" spans="1:9" ht="15.75" customHeight="1">
      <c r="A50" s="8" t="s">
        <v>512</v>
      </c>
      <c r="B50" s="9" t="s">
        <v>504</v>
      </c>
      <c r="C50" s="9" t="s">
        <v>505</v>
      </c>
      <c r="D50" s="9" t="s">
        <v>506</v>
      </c>
      <c r="E50" s="9" t="s">
        <v>506</v>
      </c>
      <c r="F50" s="9" t="s">
        <v>504</v>
      </c>
      <c r="G50" s="9" t="s">
        <v>504</v>
      </c>
      <c r="H50" s="9" t="s">
        <v>505</v>
      </c>
      <c r="I50" s="9" t="s">
        <v>505</v>
      </c>
    </row>
    <row r="51" spans="1:9" ht="15.75" customHeight="1">
      <c r="A51" s="8" t="s">
        <v>513</v>
      </c>
      <c r="B51" s="9" t="s">
        <v>511</v>
      </c>
      <c r="C51" s="9" t="s">
        <v>507</v>
      </c>
      <c r="D51" s="9" t="s">
        <v>566</v>
      </c>
      <c r="E51" s="9" t="s">
        <v>509</v>
      </c>
      <c r="F51" s="9" t="s">
        <v>510</v>
      </c>
      <c r="G51" s="9" t="s">
        <v>508</v>
      </c>
      <c r="H51" s="9" t="s">
        <v>507</v>
      </c>
      <c r="I51" s="9" t="s">
        <v>508</v>
      </c>
    </row>
    <row r="52" spans="1:9" ht="15.75" customHeight="1">
      <c r="A52" s="8" t="s">
        <v>567</v>
      </c>
      <c r="B52" s="45">
        <f>HLOOKUP(B50,$B$42:$B$47,6,FALSE)</f>
        <v>300</v>
      </c>
      <c r="C52" s="43">
        <f t="shared" ref="C52:D52" si="1">HLOOKUP(C50, $B$42:$D$47, 2, FALSE)</f>
        <v>2000</v>
      </c>
      <c r="D52" s="43">
        <f t="shared" si="1"/>
        <v>3000</v>
      </c>
      <c r="E52" s="43">
        <f>HLOOKUP(E50, $B$42:$D$47, 4, FALSE)</f>
        <v>1100</v>
      </c>
      <c r="F52" s="43">
        <f>HLOOKUP(F50, $B$42:$D$47, 5, FALSE)</f>
        <v>250</v>
      </c>
      <c r="G52" s="43">
        <f>HLOOKUP(G50, $B$42:$D$47, 3, FALSE)</f>
        <v>5000</v>
      </c>
      <c r="H52" s="43">
        <f>HLOOKUP(H50, $B$42:$D$47, 2, FALSE)</f>
        <v>2000</v>
      </c>
      <c r="I52" s="43">
        <f>HLOOKUP(I50, $B$42:$D$47, 3, FALSE)</f>
        <v>4999</v>
      </c>
    </row>
    <row r="53" spans="1:9" ht="15.75" customHeight="1">
      <c r="B53" s="52" t="s">
        <v>593</v>
      </c>
    </row>
    <row r="54" spans="1:9" ht="15.75" customHeight="1"/>
    <row r="55" spans="1:9" ht="15.75" customHeight="1"/>
    <row r="56" spans="1:9" ht="15.75" customHeight="1"/>
    <row r="57" spans="1:9" ht="15.75" customHeight="1"/>
    <row r="58" spans="1:9" ht="15.75" customHeight="1"/>
    <row r="59" spans="1:9" ht="15.75" customHeight="1"/>
    <row r="60" spans="1:9" ht="15.75" customHeight="1"/>
    <row r="61" spans="1:9" ht="15.75" customHeight="1"/>
    <row r="62" spans="1:9" ht="15.75" customHeight="1"/>
    <row r="63" spans="1:9" ht="15.75" customHeight="1"/>
    <row r="64" spans="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D36:F36"/>
    <mergeCell ref="A40:J41"/>
    <mergeCell ref="A1:C1"/>
    <mergeCell ref="A4:I5"/>
    <mergeCell ref="A14:J15"/>
    <mergeCell ref="D28:F28"/>
    <mergeCell ref="H28:P36"/>
    <mergeCell ref="D29:F29"/>
    <mergeCell ref="D30:F30"/>
    <mergeCell ref="D31:F31"/>
    <mergeCell ref="D32:F32"/>
    <mergeCell ref="D33:F33"/>
    <mergeCell ref="D34:F34"/>
    <mergeCell ref="D35:F35"/>
  </mergeCells>
  <pageMargins left="0.7" right="0.7" top="0.75" bottom="0.75" header="0" footer="0"/>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000"/>
  <sheetViews>
    <sheetView showGridLines="0" workbookViewId="0">
      <selection sqref="A1:B1"/>
    </sheetView>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594</v>
      </c>
      <c r="B1" s="149"/>
      <c r="C1" s="31"/>
      <c r="D1" s="2"/>
      <c r="E1" s="2"/>
      <c r="F1" s="2"/>
      <c r="G1" s="2"/>
      <c r="H1" s="2"/>
      <c r="I1" s="2"/>
      <c r="J1" s="2"/>
      <c r="K1" s="2"/>
    </row>
    <row r="3" spans="1:11" ht="18.75">
      <c r="A3" s="3" t="s">
        <v>1</v>
      </c>
    </row>
    <row r="4" spans="1:11" ht="15" customHeight="1">
      <c r="A4" s="162" t="s">
        <v>595</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596</v>
      </c>
    </row>
    <row r="9" spans="1:11" ht="15.75">
      <c r="A9" s="6" t="s">
        <v>597</v>
      </c>
    </row>
    <row r="10" spans="1:11">
      <c r="A10" s="4" t="s">
        <v>598</v>
      </c>
    </row>
    <row r="11" spans="1:11">
      <c r="A11" s="42"/>
    </row>
    <row r="12" spans="1:11" ht="15.75">
      <c r="A12" s="6" t="s">
        <v>599</v>
      </c>
    </row>
    <row r="13" spans="1:11">
      <c r="A13" s="4" t="s">
        <v>600</v>
      </c>
    </row>
    <row r="14" spans="1:11">
      <c r="A14" s="4" t="s">
        <v>601</v>
      </c>
    </row>
    <row r="15" spans="1:11">
      <c r="A15" s="4" t="s">
        <v>602</v>
      </c>
    </row>
    <row r="16" spans="1:11">
      <c r="A16" s="4" t="s">
        <v>603</v>
      </c>
    </row>
    <row r="17" spans="1:4">
      <c r="A17" s="4" t="s">
        <v>604</v>
      </c>
    </row>
    <row r="18" spans="1:4">
      <c r="A18" s="4" t="s">
        <v>605</v>
      </c>
    </row>
    <row r="19" spans="1:4">
      <c r="A19" s="4" t="s">
        <v>606</v>
      </c>
    </row>
    <row r="21" spans="1:4" ht="15.75" customHeight="1">
      <c r="A21" s="6" t="s">
        <v>11</v>
      </c>
    </row>
    <row r="22" spans="1:4" ht="15.75" customHeight="1">
      <c r="A22" s="34" t="s">
        <v>607</v>
      </c>
    </row>
    <row r="23" spans="1:4" ht="15.75" customHeight="1">
      <c r="A23" s="8" t="s">
        <v>608</v>
      </c>
      <c r="B23" s="8" t="s">
        <v>609</v>
      </c>
      <c r="C23" s="8" t="s">
        <v>610</v>
      </c>
    </row>
    <row r="24" spans="1:4" ht="15.75" customHeight="1">
      <c r="A24" s="9" t="s">
        <v>32</v>
      </c>
      <c r="B24" s="9">
        <v>10</v>
      </c>
      <c r="C24" s="9">
        <v>30</v>
      </c>
    </row>
    <row r="25" spans="1:4" ht="15.75" customHeight="1">
      <c r="A25" s="9" t="s">
        <v>34</v>
      </c>
      <c r="B25" s="9">
        <v>40</v>
      </c>
      <c r="C25" s="9">
        <v>50</v>
      </c>
    </row>
    <row r="26" spans="1:4" ht="15.75" customHeight="1">
      <c r="A26" s="9" t="s">
        <v>36</v>
      </c>
      <c r="B26" s="9">
        <v>70</v>
      </c>
      <c r="C26" s="9">
        <v>80</v>
      </c>
    </row>
    <row r="27" spans="1:4" ht="15.75" customHeight="1"/>
    <row r="28" spans="1:4" ht="15.75" customHeight="1">
      <c r="A28" s="8" t="s">
        <v>611</v>
      </c>
      <c r="B28" s="9" t="str">
        <f t="array" ref="B28:D28">TRANSPOSE(A24:A26)</f>
        <v>E001</v>
      </c>
      <c r="C28" s="9" t="str">
        <v>E002</v>
      </c>
      <c r="D28" s="9" t="str">
        <v>E003</v>
      </c>
    </row>
    <row r="29" spans="1:4" ht="15.75" customHeight="1">
      <c r="A29" s="8" t="s">
        <v>609</v>
      </c>
      <c r="B29" s="9">
        <f t="array" ref="B29:D29">TRANSPOSE(B24:B26)</f>
        <v>10</v>
      </c>
      <c r="C29" s="9">
        <v>40</v>
      </c>
      <c r="D29" s="9">
        <v>70</v>
      </c>
    </row>
    <row r="30" spans="1:4" ht="15.75" customHeight="1">
      <c r="A30" s="15" t="s">
        <v>612</v>
      </c>
      <c r="B30" s="146" t="s">
        <v>613</v>
      </c>
      <c r="C30" s="144"/>
      <c r="D30" s="145"/>
    </row>
    <row r="31" spans="1:4" ht="15.75" customHeight="1">
      <c r="A31" s="15" t="s">
        <v>614</v>
      </c>
      <c r="B31" s="146" t="s">
        <v>615</v>
      </c>
      <c r="C31" s="144"/>
      <c r="D31" s="145"/>
    </row>
    <row r="32" spans="1:4" ht="15.75" customHeight="1"/>
    <row r="33" spans="1:4" ht="15.75" customHeight="1"/>
    <row r="34" spans="1:4" ht="15.75" customHeight="1">
      <c r="A34" s="6" t="s">
        <v>27</v>
      </c>
    </row>
    <row r="35" spans="1:4" ht="15.75" customHeight="1">
      <c r="A35" s="34" t="s">
        <v>616</v>
      </c>
    </row>
    <row r="36" spans="1:4" ht="15.75" customHeight="1">
      <c r="A36" s="8" t="s">
        <v>608</v>
      </c>
      <c r="B36" s="8" t="s">
        <v>609</v>
      </c>
      <c r="C36" s="8" t="s">
        <v>610</v>
      </c>
    </row>
    <row r="37" spans="1:4" ht="15.75" customHeight="1">
      <c r="A37" s="9" t="s">
        <v>32</v>
      </c>
      <c r="B37" s="9">
        <v>10</v>
      </c>
      <c r="C37" s="9">
        <v>30</v>
      </c>
    </row>
    <row r="38" spans="1:4" ht="15.75" customHeight="1">
      <c r="A38" s="9" t="s">
        <v>34</v>
      </c>
      <c r="B38" s="9">
        <v>40</v>
      </c>
      <c r="C38" s="9">
        <v>50</v>
      </c>
    </row>
    <row r="39" spans="1:4" ht="15.75" customHeight="1">
      <c r="A39" s="9" t="s">
        <v>36</v>
      </c>
      <c r="B39" s="9">
        <v>70</v>
      </c>
      <c r="C39" s="9">
        <v>80</v>
      </c>
    </row>
    <row r="40" spans="1:4" ht="15.75" customHeight="1"/>
    <row r="41" spans="1:4" ht="15.75" customHeight="1">
      <c r="A41" s="8" t="s">
        <v>611</v>
      </c>
      <c r="B41" s="9" t="str">
        <f t="array" ref="B41:D41">TRANSPOSE(A37:A39)</f>
        <v>E001</v>
      </c>
      <c r="C41" s="9" t="str">
        <v>E002</v>
      </c>
      <c r="D41" s="9" t="str">
        <v>E003</v>
      </c>
    </row>
    <row r="42" spans="1:4" ht="15.75" customHeight="1">
      <c r="A42" s="8" t="s">
        <v>609</v>
      </c>
      <c r="B42" s="9">
        <f t="array" ref="B42:D42">TRANSPOSE(C37:C39)</f>
        <v>30</v>
      </c>
      <c r="C42" s="9">
        <v>50</v>
      </c>
      <c r="D42" s="9">
        <v>80</v>
      </c>
    </row>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4:I4"/>
    <mergeCell ref="B30:D30"/>
    <mergeCell ref="B31:D31"/>
  </mergeCells>
  <pageMargins left="0.7" right="0.7" top="0.75" bottom="0.75" header="0" footer="0"/>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1000"/>
  <sheetViews>
    <sheetView showGridLines="0" topLeftCell="A43" workbookViewId="0">
      <selection sqref="A1:B1"/>
    </sheetView>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1.140625" customWidth="1"/>
    <col min="12" max="16" width="8.7109375" customWidth="1"/>
  </cols>
  <sheetData>
    <row r="1" spans="1:11" ht="31.5">
      <c r="A1" s="161" t="s">
        <v>295</v>
      </c>
      <c r="B1" s="149"/>
      <c r="C1" s="31"/>
      <c r="D1" s="2"/>
      <c r="E1" s="2"/>
      <c r="F1" s="2"/>
      <c r="G1" s="2"/>
      <c r="H1" s="2"/>
      <c r="I1" s="2"/>
      <c r="J1" s="2"/>
      <c r="K1" s="2"/>
    </row>
    <row r="3" spans="1:11" ht="18.75">
      <c r="A3" s="3" t="s">
        <v>1</v>
      </c>
    </row>
    <row r="4" spans="1:11" ht="15" customHeight="1">
      <c r="A4" s="162" t="s">
        <v>617</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618</v>
      </c>
    </row>
    <row r="9" spans="1:11" ht="15.75">
      <c r="A9" s="6" t="s">
        <v>494</v>
      </c>
    </row>
    <row r="10" spans="1:11">
      <c r="A10" s="4" t="s">
        <v>619</v>
      </c>
    </row>
    <row r="11" spans="1:11">
      <c r="A11" s="42"/>
    </row>
    <row r="12" spans="1:11" ht="15.75">
      <c r="A12" s="6" t="s">
        <v>620</v>
      </c>
    </row>
    <row r="13" spans="1:11">
      <c r="A13" s="141" t="s">
        <v>621</v>
      </c>
      <c r="B13" s="142"/>
      <c r="C13" s="142"/>
      <c r="D13" s="142"/>
      <c r="E13" s="142"/>
      <c r="F13" s="142"/>
      <c r="G13" s="142"/>
      <c r="H13" s="142"/>
      <c r="I13" s="142"/>
      <c r="J13" s="142"/>
    </row>
    <row r="14" spans="1:11" ht="15" customHeight="1">
      <c r="A14" s="142"/>
      <c r="B14" s="142"/>
      <c r="C14" s="142"/>
      <c r="D14" s="142"/>
      <c r="E14" s="142"/>
      <c r="F14" s="142"/>
      <c r="G14" s="142"/>
      <c r="H14" s="142"/>
      <c r="I14" s="142"/>
      <c r="J14" s="142"/>
    </row>
    <row r="15" spans="1:11" ht="15.75">
      <c r="A15" s="6" t="s">
        <v>622</v>
      </c>
    </row>
    <row r="16" spans="1:11">
      <c r="A16" s="141" t="s">
        <v>623</v>
      </c>
      <c r="B16" s="142"/>
      <c r="C16" s="142"/>
      <c r="D16" s="142"/>
      <c r="E16" s="142"/>
      <c r="F16" s="142"/>
      <c r="G16" s="142"/>
      <c r="H16" s="142"/>
      <c r="I16" s="142"/>
      <c r="J16" s="142"/>
    </row>
    <row r="17" spans="1:16" ht="15" customHeight="1">
      <c r="A17" s="142"/>
      <c r="B17" s="142"/>
      <c r="C17" s="142"/>
      <c r="D17" s="142"/>
      <c r="E17" s="142"/>
      <c r="F17" s="142"/>
      <c r="G17" s="142"/>
      <c r="H17" s="142"/>
      <c r="I17" s="142"/>
      <c r="J17" s="142"/>
    </row>
    <row r="18" spans="1:16">
      <c r="A18" s="42"/>
    </row>
    <row r="19" spans="1:16" ht="15.75">
      <c r="A19" s="6" t="s">
        <v>45</v>
      </c>
    </row>
    <row r="20" spans="1:16">
      <c r="A20" s="34" t="s">
        <v>624</v>
      </c>
    </row>
    <row r="21" spans="1:16" ht="15.75" customHeight="1">
      <c r="A21" s="8" t="s">
        <v>503</v>
      </c>
      <c r="B21" s="8" t="s">
        <v>504</v>
      </c>
      <c r="C21" s="8" t="s">
        <v>505</v>
      </c>
      <c r="D21" s="8" t="s">
        <v>506</v>
      </c>
    </row>
    <row r="22" spans="1:16" ht="15.75" customHeight="1">
      <c r="A22" s="9" t="s">
        <v>507</v>
      </c>
      <c r="B22" s="43">
        <v>2500</v>
      </c>
      <c r="C22" s="43">
        <v>2000</v>
      </c>
      <c r="D22" s="43">
        <v>3000</v>
      </c>
    </row>
    <row r="23" spans="1:16" ht="15.75" customHeight="1">
      <c r="A23" s="9" t="s">
        <v>508</v>
      </c>
      <c r="B23" s="43">
        <v>5000</v>
      </c>
      <c r="C23" s="43">
        <v>4999</v>
      </c>
      <c r="D23" s="43">
        <v>5200</v>
      </c>
    </row>
    <row r="24" spans="1:16" ht="15.75" customHeight="1">
      <c r="A24" s="9" t="s">
        <v>509</v>
      </c>
      <c r="B24" s="43">
        <v>1250</v>
      </c>
      <c r="C24" s="43">
        <v>1302</v>
      </c>
      <c r="D24" s="43">
        <v>1100</v>
      </c>
    </row>
    <row r="25" spans="1:16" ht="15.75" customHeight="1">
      <c r="A25" s="9" t="s">
        <v>510</v>
      </c>
      <c r="B25" s="43">
        <v>250</v>
      </c>
      <c r="C25" s="43">
        <v>300</v>
      </c>
      <c r="D25" s="43">
        <v>200</v>
      </c>
    </row>
    <row r="26" spans="1:16" ht="15.75" customHeight="1">
      <c r="A26" s="9" t="s">
        <v>511</v>
      </c>
      <c r="B26" s="43">
        <v>300</v>
      </c>
      <c r="C26" s="43">
        <v>290</v>
      </c>
      <c r="D26" s="43">
        <v>310</v>
      </c>
    </row>
    <row r="27" spans="1:16" ht="15.75" customHeight="1">
      <c r="A27" s="44"/>
      <c r="B27" s="44"/>
      <c r="C27" s="44"/>
      <c r="D27" s="44"/>
    </row>
    <row r="28" spans="1:16" ht="15" customHeight="1">
      <c r="A28" s="8" t="s">
        <v>512</v>
      </c>
      <c r="B28" s="8" t="s">
        <v>513</v>
      </c>
      <c r="C28" s="8" t="s">
        <v>514</v>
      </c>
      <c r="D28" s="143" t="s">
        <v>16</v>
      </c>
      <c r="E28" s="144"/>
      <c r="F28" s="145"/>
      <c r="H28" s="172" t="s">
        <v>515</v>
      </c>
      <c r="I28" s="151"/>
      <c r="J28" s="151"/>
      <c r="K28" s="151"/>
      <c r="L28" s="151"/>
      <c r="M28" s="151"/>
      <c r="N28" s="151"/>
      <c r="O28" s="151"/>
      <c r="P28" s="152"/>
    </row>
    <row r="29" spans="1:16" ht="15.75" customHeight="1">
      <c r="A29" s="9" t="s">
        <v>504</v>
      </c>
      <c r="B29" s="9" t="s">
        <v>510</v>
      </c>
      <c r="C29" s="45">
        <f>VLOOKUP(B29,$A$22:$B$26,2,FALSE)</f>
        <v>250</v>
      </c>
      <c r="D29" s="171" t="s">
        <v>516</v>
      </c>
      <c r="E29" s="144"/>
      <c r="F29" s="145"/>
      <c r="H29" s="153"/>
      <c r="I29" s="142"/>
      <c r="J29" s="142"/>
      <c r="K29" s="142"/>
      <c r="L29" s="142"/>
      <c r="M29" s="142"/>
      <c r="N29" s="142"/>
      <c r="O29" s="142"/>
      <c r="P29" s="154"/>
    </row>
    <row r="30" spans="1:16" ht="15.75" customHeight="1">
      <c r="A30" s="9" t="s">
        <v>505</v>
      </c>
      <c r="B30" s="9" t="s">
        <v>507</v>
      </c>
      <c r="C30" s="45">
        <f>VLOOKUP(B30,$A$22:$C$26,3,FALSE)</f>
        <v>2000</v>
      </c>
      <c r="D30" s="171" t="s">
        <v>517</v>
      </c>
      <c r="E30" s="144"/>
      <c r="F30" s="145"/>
      <c r="H30" s="153"/>
      <c r="I30" s="142"/>
      <c r="J30" s="142"/>
      <c r="K30" s="142"/>
      <c r="L30" s="142"/>
      <c r="M30" s="142"/>
      <c r="N30" s="142"/>
      <c r="O30" s="142"/>
      <c r="P30" s="154"/>
    </row>
    <row r="31" spans="1:16" ht="15.75" customHeight="1">
      <c r="A31" s="9" t="s">
        <v>506</v>
      </c>
      <c r="B31" s="9" t="s">
        <v>508</v>
      </c>
      <c r="C31" s="45">
        <f t="shared" ref="C31:C32" si="0">VLOOKUP(B31,$A$22:$D$26,4,FALSE)</f>
        <v>5200</v>
      </c>
      <c r="D31" s="171" t="s">
        <v>518</v>
      </c>
      <c r="E31" s="144"/>
      <c r="F31" s="145"/>
      <c r="H31" s="153"/>
      <c r="I31" s="142"/>
      <c r="J31" s="142"/>
      <c r="K31" s="142"/>
      <c r="L31" s="142"/>
      <c r="M31" s="142"/>
      <c r="N31" s="142"/>
      <c r="O31" s="142"/>
      <c r="P31" s="154"/>
    </row>
    <row r="32" spans="1:16" ht="15.75" customHeight="1">
      <c r="A32" s="9" t="s">
        <v>506</v>
      </c>
      <c r="B32" s="9" t="s">
        <v>509</v>
      </c>
      <c r="C32" s="45">
        <f t="shared" si="0"/>
        <v>1100</v>
      </c>
      <c r="D32" s="171" t="s">
        <v>519</v>
      </c>
      <c r="E32" s="144"/>
      <c r="F32" s="145"/>
      <c r="H32" s="153"/>
      <c r="I32" s="142"/>
      <c r="J32" s="142"/>
      <c r="K32" s="142"/>
      <c r="L32" s="142"/>
      <c r="M32" s="142"/>
      <c r="N32" s="142"/>
      <c r="O32" s="142"/>
      <c r="P32" s="154"/>
    </row>
    <row r="33" spans="1:16" ht="15.75" customHeight="1">
      <c r="A33" s="9" t="s">
        <v>504</v>
      </c>
      <c r="B33" s="9" t="s">
        <v>510</v>
      </c>
      <c r="C33" s="45">
        <f t="shared" ref="C33:C34" si="1">VLOOKUP(B33,$A$22:$B$26,2,FALSE)</f>
        <v>250</v>
      </c>
      <c r="D33" s="171" t="s">
        <v>520</v>
      </c>
      <c r="E33" s="144"/>
      <c r="F33" s="145"/>
      <c r="H33" s="153"/>
      <c r="I33" s="142"/>
      <c r="J33" s="142"/>
      <c r="K33" s="142"/>
      <c r="L33" s="142"/>
      <c r="M33" s="142"/>
      <c r="N33" s="142"/>
      <c r="O33" s="142"/>
      <c r="P33" s="154"/>
    </row>
    <row r="34" spans="1:16" ht="15.75" customHeight="1">
      <c r="A34" s="9" t="s">
        <v>504</v>
      </c>
      <c r="B34" s="9" t="s">
        <v>511</v>
      </c>
      <c r="C34" s="45">
        <f t="shared" si="1"/>
        <v>300</v>
      </c>
      <c r="D34" s="171" t="s">
        <v>521</v>
      </c>
      <c r="E34" s="144"/>
      <c r="F34" s="145"/>
      <c r="H34" s="153"/>
      <c r="I34" s="142"/>
      <c r="J34" s="142"/>
      <c r="K34" s="142"/>
      <c r="L34" s="142"/>
      <c r="M34" s="142"/>
      <c r="N34" s="142"/>
      <c r="O34" s="142"/>
      <c r="P34" s="154"/>
    </row>
    <row r="35" spans="1:16" ht="15.75" customHeight="1">
      <c r="A35" s="9" t="s">
        <v>505</v>
      </c>
      <c r="B35" s="9" t="s">
        <v>507</v>
      </c>
      <c r="C35" s="45">
        <f t="shared" ref="C35:C36" si="2">VLOOKUP(B35,$A$22:$C$26,3,FALSE)</f>
        <v>2000</v>
      </c>
      <c r="D35" s="171" t="s">
        <v>522</v>
      </c>
      <c r="E35" s="144"/>
      <c r="F35" s="145"/>
      <c r="H35" s="153"/>
      <c r="I35" s="142"/>
      <c r="J35" s="142"/>
      <c r="K35" s="142"/>
      <c r="L35" s="142"/>
      <c r="M35" s="142"/>
      <c r="N35" s="142"/>
      <c r="O35" s="142"/>
      <c r="P35" s="154"/>
    </row>
    <row r="36" spans="1:16" ht="15.75" customHeight="1">
      <c r="A36" s="9" t="s">
        <v>505</v>
      </c>
      <c r="B36" s="9" t="s">
        <v>508</v>
      </c>
      <c r="C36" s="45">
        <f t="shared" si="2"/>
        <v>4999</v>
      </c>
      <c r="D36" s="171" t="s">
        <v>523</v>
      </c>
      <c r="E36" s="144"/>
      <c r="F36" s="145"/>
      <c r="H36" s="155"/>
      <c r="I36" s="156"/>
      <c r="J36" s="156"/>
      <c r="K36" s="156"/>
      <c r="L36" s="156"/>
      <c r="M36" s="156"/>
      <c r="N36" s="156"/>
      <c r="O36" s="156"/>
      <c r="P36" s="157"/>
    </row>
    <row r="37" spans="1:16" ht="15.75" customHeight="1"/>
    <row r="38" spans="1:16" ht="15.75" customHeight="1"/>
    <row r="39" spans="1:16" ht="15.75" customHeight="1">
      <c r="A39" s="6" t="s">
        <v>52</v>
      </c>
    </row>
    <row r="40" spans="1:16" ht="15.75" customHeight="1">
      <c r="A40" s="141" t="s">
        <v>524</v>
      </c>
      <c r="B40" s="142"/>
      <c r="C40" s="142"/>
      <c r="D40" s="142"/>
      <c r="E40" s="142"/>
      <c r="F40" s="142"/>
      <c r="G40" s="142"/>
      <c r="H40" s="142"/>
      <c r="I40" s="142"/>
      <c r="J40" s="142"/>
    </row>
    <row r="41" spans="1:16" ht="15.75" customHeight="1">
      <c r="A41" s="142"/>
      <c r="B41" s="142"/>
      <c r="C41" s="142"/>
      <c r="D41" s="142"/>
      <c r="E41" s="142"/>
      <c r="F41" s="142"/>
      <c r="G41" s="142"/>
      <c r="H41" s="142"/>
      <c r="I41" s="142"/>
      <c r="J41" s="142"/>
    </row>
    <row r="42" spans="1:16" ht="15.75" customHeight="1">
      <c r="A42" s="173" t="s">
        <v>525</v>
      </c>
      <c r="B42" s="145"/>
      <c r="C42" s="7"/>
      <c r="D42" s="173" t="s">
        <v>526</v>
      </c>
      <c r="E42" s="145"/>
      <c r="F42" s="7"/>
      <c r="G42" s="7"/>
      <c r="H42" s="7"/>
      <c r="I42" s="7"/>
      <c r="J42" s="7"/>
    </row>
    <row r="43" spans="1:16" ht="15.75" customHeight="1">
      <c r="A43" s="8" t="s">
        <v>527</v>
      </c>
      <c r="B43" s="8" t="s">
        <v>514</v>
      </c>
      <c r="D43" s="8" t="s">
        <v>527</v>
      </c>
      <c r="E43" s="8" t="s">
        <v>528</v>
      </c>
    </row>
    <row r="44" spans="1:16" ht="15.75" customHeight="1">
      <c r="A44" s="9" t="s">
        <v>529</v>
      </c>
      <c r="B44" s="46">
        <v>5.0999999999999996</v>
      </c>
      <c r="D44" s="9" t="s">
        <v>529</v>
      </c>
      <c r="E44" s="46">
        <v>7.5</v>
      </c>
    </row>
    <row r="45" spans="1:16" ht="15.75" customHeight="1">
      <c r="A45" s="9" t="s">
        <v>530</v>
      </c>
      <c r="B45" s="46">
        <v>1.1000000000000001</v>
      </c>
      <c r="D45" s="9" t="s">
        <v>530</v>
      </c>
      <c r="E45" s="46">
        <v>1.1499999999999999</v>
      </c>
    </row>
    <row r="46" spans="1:16" ht="15.75" customHeight="1">
      <c r="A46" s="9" t="s">
        <v>531</v>
      </c>
      <c r="B46" s="46">
        <v>1.5</v>
      </c>
      <c r="D46" s="9" t="s">
        <v>531</v>
      </c>
      <c r="E46" s="46">
        <v>2.5</v>
      </c>
    </row>
    <row r="47" spans="1:16" ht="15.75" customHeight="1">
      <c r="A47" s="9" t="s">
        <v>532</v>
      </c>
      <c r="B47" s="46">
        <v>2.5</v>
      </c>
      <c r="D47" s="9" t="s">
        <v>532</v>
      </c>
      <c r="E47" s="46">
        <v>3.75</v>
      </c>
    </row>
    <row r="48" spans="1:16" ht="15.75" customHeight="1"/>
    <row r="49" spans="1:11" ht="15.75" customHeight="1">
      <c r="A49" s="143" t="s">
        <v>533</v>
      </c>
      <c r="B49" s="144"/>
      <c r="C49" s="144"/>
      <c r="D49" s="144"/>
      <c r="E49" s="144"/>
      <c r="F49" s="144"/>
      <c r="G49" s="144"/>
      <c r="H49" s="144"/>
      <c r="I49" s="144"/>
      <c r="J49" s="144"/>
      <c r="K49" s="145"/>
    </row>
    <row r="50" spans="1:11" ht="15.75" customHeight="1">
      <c r="A50" s="8" t="s">
        <v>527</v>
      </c>
      <c r="B50" s="8" t="s">
        <v>534</v>
      </c>
      <c r="C50" s="8" t="s">
        <v>514</v>
      </c>
      <c r="D50" s="8" t="s">
        <v>528</v>
      </c>
      <c r="E50" s="8" t="s">
        <v>535</v>
      </c>
      <c r="F50" s="143" t="s">
        <v>536</v>
      </c>
      <c r="G50" s="144"/>
      <c r="H50" s="145"/>
      <c r="I50" s="143" t="s">
        <v>537</v>
      </c>
      <c r="J50" s="144"/>
      <c r="K50" s="145"/>
    </row>
    <row r="51" spans="1:11" ht="15.75" customHeight="1">
      <c r="A51" s="9" t="s">
        <v>529</v>
      </c>
      <c r="B51" s="37">
        <v>500</v>
      </c>
      <c r="C51" s="47">
        <f t="shared" ref="C51:C55" si="3">VLOOKUP(A51,$A$44:$B$47,2,FALSE)</f>
        <v>5.0999999999999996</v>
      </c>
      <c r="D51" s="48">
        <f t="shared" ref="D51:D55" si="4">VLOOKUP(A51,$D$44:$E$47,2,FALSE)</f>
        <v>7.5</v>
      </c>
      <c r="E51" s="46">
        <f t="shared" ref="E51:E54" si="5">(D51-C51)*B51</f>
        <v>1200.0000000000002</v>
      </c>
      <c r="F51" s="174" t="s">
        <v>538</v>
      </c>
      <c r="G51" s="144"/>
      <c r="H51" s="145"/>
      <c r="I51" s="171" t="s">
        <v>539</v>
      </c>
      <c r="J51" s="144"/>
      <c r="K51" s="145"/>
    </row>
    <row r="52" spans="1:11" ht="15.75" customHeight="1">
      <c r="A52" s="9" t="s">
        <v>530</v>
      </c>
      <c r="B52" s="37">
        <v>100</v>
      </c>
      <c r="C52" s="47">
        <f t="shared" si="3"/>
        <v>1.1000000000000001</v>
      </c>
      <c r="D52" s="48">
        <f t="shared" si="4"/>
        <v>1.1499999999999999</v>
      </c>
      <c r="E52" s="46">
        <f t="shared" si="5"/>
        <v>4.9999999999999822</v>
      </c>
      <c r="F52" s="174" t="s">
        <v>540</v>
      </c>
      <c r="G52" s="144"/>
      <c r="H52" s="145"/>
      <c r="I52" s="171" t="s">
        <v>541</v>
      </c>
      <c r="J52" s="144"/>
      <c r="K52" s="145"/>
    </row>
    <row r="53" spans="1:11" ht="15.75" customHeight="1">
      <c r="A53" s="9" t="s">
        <v>531</v>
      </c>
      <c r="B53" s="37">
        <v>250</v>
      </c>
      <c r="C53" s="47">
        <f t="shared" si="3"/>
        <v>1.5</v>
      </c>
      <c r="D53" s="48">
        <f t="shared" si="4"/>
        <v>2.5</v>
      </c>
      <c r="E53" s="46">
        <f t="shared" si="5"/>
        <v>250</v>
      </c>
      <c r="F53" s="174" t="s">
        <v>542</v>
      </c>
      <c r="G53" s="144"/>
      <c r="H53" s="145"/>
      <c r="I53" s="171" t="s">
        <v>543</v>
      </c>
      <c r="J53" s="144"/>
      <c r="K53" s="145"/>
    </row>
    <row r="54" spans="1:11" ht="15.75" customHeight="1">
      <c r="A54" s="9" t="s">
        <v>532</v>
      </c>
      <c r="B54" s="37">
        <v>100</v>
      </c>
      <c r="C54" s="47">
        <f t="shared" si="3"/>
        <v>2.5</v>
      </c>
      <c r="D54" s="48">
        <f t="shared" si="4"/>
        <v>3.75</v>
      </c>
      <c r="E54" s="46">
        <f t="shared" si="5"/>
        <v>125</v>
      </c>
      <c r="F54" s="174" t="s">
        <v>544</v>
      </c>
      <c r="G54" s="144"/>
      <c r="H54" s="145"/>
      <c r="I54" s="171" t="s">
        <v>545</v>
      </c>
      <c r="J54" s="144"/>
      <c r="K54" s="145"/>
    </row>
    <row r="55" spans="1:11" ht="15.75" customHeight="1">
      <c r="A55" s="9" t="s">
        <v>546</v>
      </c>
      <c r="B55" s="37">
        <v>990</v>
      </c>
      <c r="C55" s="47" t="e">
        <f t="shared" si="3"/>
        <v>#N/A</v>
      </c>
      <c r="D55" s="48" t="e">
        <f t="shared" si="4"/>
        <v>#N/A</v>
      </c>
      <c r="E55" s="46"/>
      <c r="F55" s="174" t="s">
        <v>547</v>
      </c>
      <c r="G55" s="144"/>
      <c r="H55" s="145"/>
      <c r="I55" s="171" t="s">
        <v>548</v>
      </c>
      <c r="J55" s="144"/>
      <c r="K55" s="145"/>
    </row>
    <row r="56" spans="1:11" ht="15.75" customHeight="1">
      <c r="A56" s="49" t="s">
        <v>549</v>
      </c>
    </row>
    <row r="57" spans="1:11" ht="15.75" customHeight="1"/>
    <row r="58" spans="1:11" ht="15.75" customHeight="1"/>
    <row r="59" spans="1:11" ht="15.75" customHeight="1"/>
    <row r="60" spans="1:11" ht="15" customHeight="1">
      <c r="B60" s="150" t="s">
        <v>550</v>
      </c>
      <c r="C60" s="151"/>
      <c r="D60" s="152"/>
    </row>
    <row r="61" spans="1:11" ht="15.75" customHeight="1">
      <c r="B61" s="153"/>
      <c r="C61" s="142"/>
      <c r="D61" s="154"/>
    </row>
    <row r="62" spans="1:11" ht="15.75" customHeight="1">
      <c r="B62" s="153"/>
      <c r="C62" s="142"/>
      <c r="D62" s="154"/>
    </row>
    <row r="63" spans="1:11" ht="15.75" customHeight="1">
      <c r="B63" s="155"/>
      <c r="C63" s="156"/>
      <c r="D63" s="157"/>
    </row>
    <row r="64" spans="1:11" ht="15.75" customHeight="1"/>
    <row r="65" spans="1:10" ht="15.75" customHeight="1"/>
    <row r="66" spans="1:10" ht="15.75" customHeight="1">
      <c r="A66" s="6" t="s">
        <v>289</v>
      </c>
    </row>
    <row r="67" spans="1:10" ht="15.75" customHeight="1">
      <c r="A67" s="141" t="s">
        <v>551</v>
      </c>
      <c r="B67" s="142"/>
      <c r="C67" s="142"/>
      <c r="D67" s="142"/>
      <c r="E67" s="142"/>
      <c r="F67" s="142"/>
      <c r="G67" s="142"/>
      <c r="H67" s="142"/>
      <c r="I67" s="142"/>
      <c r="J67" s="142"/>
    </row>
    <row r="68" spans="1:10" ht="15.75" customHeight="1">
      <c r="A68" s="142"/>
      <c r="B68" s="142"/>
      <c r="C68" s="142"/>
      <c r="D68" s="142"/>
      <c r="E68" s="142"/>
      <c r="F68" s="142"/>
      <c r="G68" s="142"/>
      <c r="H68" s="142"/>
      <c r="I68" s="142"/>
      <c r="J68" s="142"/>
    </row>
    <row r="69" spans="1:10" ht="15.75" customHeight="1">
      <c r="A69" s="173" t="s">
        <v>525</v>
      </c>
      <c r="B69" s="145"/>
      <c r="C69" s="7"/>
      <c r="D69" s="173" t="s">
        <v>526</v>
      </c>
      <c r="E69" s="145"/>
      <c r="F69" s="7"/>
      <c r="G69" s="173" t="s">
        <v>533</v>
      </c>
      <c r="H69" s="145"/>
      <c r="I69" s="7"/>
      <c r="J69" s="7"/>
    </row>
    <row r="70" spans="1:10" ht="15.75" customHeight="1">
      <c r="A70" s="8" t="s">
        <v>552</v>
      </c>
      <c r="B70" s="8" t="s">
        <v>30</v>
      </c>
      <c r="D70" s="8" t="s">
        <v>552</v>
      </c>
      <c r="E70" s="8" t="s">
        <v>31</v>
      </c>
      <c r="G70" s="8" t="s">
        <v>552</v>
      </c>
      <c r="H70" s="8" t="s">
        <v>553</v>
      </c>
    </row>
    <row r="71" spans="1:10" ht="15.75" customHeight="1">
      <c r="A71" s="9" t="s">
        <v>554</v>
      </c>
      <c r="B71" s="50" t="s">
        <v>33</v>
      </c>
      <c r="D71" s="9" t="s">
        <v>554</v>
      </c>
      <c r="E71" s="50">
        <v>85000</v>
      </c>
      <c r="G71" s="9" t="s">
        <v>554</v>
      </c>
      <c r="H71" s="50" t="s">
        <v>555</v>
      </c>
    </row>
    <row r="72" spans="1:10" ht="15.75" customHeight="1">
      <c r="A72" s="9" t="s">
        <v>556</v>
      </c>
      <c r="B72" s="50" t="s">
        <v>557</v>
      </c>
      <c r="D72" s="9" t="s">
        <v>556</v>
      </c>
      <c r="E72" s="50">
        <v>60000</v>
      </c>
      <c r="G72" s="9" t="s">
        <v>556</v>
      </c>
      <c r="H72" s="50" t="s">
        <v>555</v>
      </c>
    </row>
    <row r="73" spans="1:10" ht="15.75" customHeight="1">
      <c r="A73" s="9" t="s">
        <v>558</v>
      </c>
      <c r="B73" s="50" t="s">
        <v>33</v>
      </c>
      <c r="D73" s="9" t="s">
        <v>558</v>
      </c>
      <c r="E73" s="50">
        <v>65000</v>
      </c>
      <c r="G73" s="9" t="s">
        <v>558</v>
      </c>
      <c r="H73" s="50" t="s">
        <v>559</v>
      </c>
    </row>
    <row r="74" spans="1:10" ht="15.75" customHeight="1">
      <c r="A74" s="9" t="s">
        <v>560</v>
      </c>
      <c r="B74" s="50" t="s">
        <v>35</v>
      </c>
      <c r="D74" s="9" t="s">
        <v>560</v>
      </c>
      <c r="E74" s="50">
        <v>50000</v>
      </c>
      <c r="G74" s="9" t="s">
        <v>560</v>
      </c>
      <c r="H74" s="50" t="s">
        <v>561</v>
      </c>
    </row>
    <row r="75" spans="1:10" ht="15.75" customHeight="1">
      <c r="A75" s="9" t="s">
        <v>562</v>
      </c>
      <c r="B75" s="50" t="s">
        <v>35</v>
      </c>
      <c r="D75" s="9" t="s">
        <v>562</v>
      </c>
      <c r="E75" s="50">
        <v>45000</v>
      </c>
      <c r="G75" s="9" t="s">
        <v>562</v>
      </c>
      <c r="H75" s="50" t="s">
        <v>559</v>
      </c>
    </row>
    <row r="76" spans="1:10" ht="15.75" customHeight="1"/>
    <row r="77" spans="1:10" ht="15.75" customHeight="1"/>
    <row r="78" spans="1:10" ht="15.75" customHeight="1">
      <c r="A78" s="143" t="s">
        <v>563</v>
      </c>
      <c r="B78" s="144"/>
      <c r="C78" s="144"/>
      <c r="D78" s="145"/>
    </row>
    <row r="79" spans="1:10" ht="15.75" customHeight="1">
      <c r="A79" s="8" t="s">
        <v>552</v>
      </c>
      <c r="B79" s="8" t="s">
        <v>30</v>
      </c>
      <c r="C79" s="8" t="s">
        <v>31</v>
      </c>
      <c r="D79" s="8" t="s">
        <v>553</v>
      </c>
    </row>
    <row r="80" spans="1:10" ht="15.75" customHeight="1">
      <c r="A80" s="9" t="s">
        <v>560</v>
      </c>
      <c r="B80" s="51" t="str">
        <f t="shared" ref="B80:B85" si="6">VLOOKUP(A80, $A$70:$B$75, 2, FALSE)</f>
        <v>Analyst</v>
      </c>
      <c r="C80" s="50">
        <f t="shared" ref="C80:C85" si="7">VLOOKUP(A80, $D$70:$E$75, 2, FALSE)</f>
        <v>50000</v>
      </c>
      <c r="D80" s="51" t="str">
        <f t="shared" ref="D80:D85" si="8">VLOOKUP(A80, $G$70:$H$75, 2, FALSE)</f>
        <v>HR</v>
      </c>
    </row>
    <row r="81" spans="1:9" ht="15.75" customHeight="1">
      <c r="A81" s="9" t="s">
        <v>562</v>
      </c>
      <c r="B81" s="51" t="str">
        <f t="shared" si="6"/>
        <v>Analyst</v>
      </c>
      <c r="C81" s="50">
        <f t="shared" si="7"/>
        <v>45000</v>
      </c>
      <c r="D81" s="51" t="str">
        <f t="shared" si="8"/>
        <v>IT</v>
      </c>
    </row>
    <row r="82" spans="1:9" ht="15.75" customHeight="1">
      <c r="A82" s="9" t="s">
        <v>558</v>
      </c>
      <c r="B82" s="51" t="str">
        <f t="shared" si="6"/>
        <v>AVP</v>
      </c>
      <c r="C82" s="50">
        <f t="shared" si="7"/>
        <v>65000</v>
      </c>
      <c r="D82" s="51" t="str">
        <f t="shared" si="8"/>
        <v>IT</v>
      </c>
    </row>
    <row r="83" spans="1:9" ht="15.75" customHeight="1">
      <c r="A83" s="9" t="s">
        <v>554</v>
      </c>
      <c r="B83" s="51" t="str">
        <f t="shared" si="6"/>
        <v>AVP</v>
      </c>
      <c r="C83" s="50">
        <f t="shared" si="7"/>
        <v>85000</v>
      </c>
      <c r="D83" s="51" t="str">
        <f t="shared" si="8"/>
        <v>Analytics</v>
      </c>
    </row>
    <row r="84" spans="1:9" ht="15.75" customHeight="1">
      <c r="A84" s="9" t="s">
        <v>564</v>
      </c>
      <c r="B84" s="15" t="e">
        <f t="shared" si="6"/>
        <v>#N/A</v>
      </c>
      <c r="C84" s="50" t="e">
        <f t="shared" si="7"/>
        <v>#N/A</v>
      </c>
      <c r="D84" s="15" t="e">
        <f t="shared" si="8"/>
        <v>#N/A</v>
      </c>
    </row>
    <row r="85" spans="1:9" ht="15.75" customHeight="1">
      <c r="A85" s="9" t="s">
        <v>556</v>
      </c>
      <c r="B85" s="51" t="str">
        <f t="shared" si="6"/>
        <v>Analayst</v>
      </c>
      <c r="C85" s="50">
        <f t="shared" si="7"/>
        <v>60000</v>
      </c>
      <c r="D85" s="51" t="str">
        <f t="shared" si="8"/>
        <v>Analytics</v>
      </c>
    </row>
    <row r="86" spans="1:9" ht="15.75" customHeight="1"/>
    <row r="87" spans="1:9" ht="15.75" customHeight="1"/>
    <row r="88" spans="1:9" ht="15.75" customHeight="1">
      <c r="A88" s="6" t="s">
        <v>292</v>
      </c>
    </row>
    <row r="89" spans="1:9" ht="15.75" customHeight="1">
      <c r="A89" s="34" t="s">
        <v>625</v>
      </c>
    </row>
    <row r="90" spans="1:9" ht="15" customHeight="1">
      <c r="A90" s="8" t="s">
        <v>503</v>
      </c>
      <c r="B90" s="8" t="s">
        <v>507</v>
      </c>
      <c r="C90" s="8" t="s">
        <v>508</v>
      </c>
      <c r="D90" s="8" t="s">
        <v>509</v>
      </c>
      <c r="E90" s="8" t="s">
        <v>510</v>
      </c>
      <c r="F90" s="8" t="s">
        <v>511</v>
      </c>
    </row>
    <row r="91" spans="1:9" ht="15.75" customHeight="1">
      <c r="A91" s="9" t="s">
        <v>504</v>
      </c>
      <c r="B91" s="43">
        <v>2500</v>
      </c>
      <c r="C91" s="43">
        <v>5000</v>
      </c>
      <c r="D91" s="43">
        <v>1250</v>
      </c>
      <c r="E91" s="43">
        <v>250</v>
      </c>
      <c r="F91" s="43">
        <v>300</v>
      </c>
    </row>
    <row r="92" spans="1:9" ht="15.75" customHeight="1">
      <c r="A92" s="9" t="s">
        <v>505</v>
      </c>
      <c r="B92" s="43">
        <v>2000</v>
      </c>
      <c r="C92" s="43">
        <v>4999</v>
      </c>
      <c r="D92" s="43">
        <v>1302</v>
      </c>
      <c r="E92" s="43">
        <v>300</v>
      </c>
      <c r="F92" s="43">
        <v>290</v>
      </c>
    </row>
    <row r="93" spans="1:9" ht="15.75" customHeight="1">
      <c r="A93" s="9" t="s">
        <v>506</v>
      </c>
      <c r="B93" s="43">
        <v>3000</v>
      </c>
      <c r="C93" s="43">
        <v>5200</v>
      </c>
      <c r="D93" s="43">
        <v>1100</v>
      </c>
      <c r="E93" s="43">
        <v>200</v>
      </c>
      <c r="F93" s="43">
        <v>310</v>
      </c>
    </row>
    <row r="94" spans="1:9" ht="15.75" customHeight="1"/>
    <row r="95" spans="1:9" ht="15.75" customHeight="1">
      <c r="A95" s="8" t="s">
        <v>512</v>
      </c>
      <c r="B95" s="9" t="s">
        <v>504</v>
      </c>
      <c r="C95" s="9" t="s">
        <v>505</v>
      </c>
      <c r="D95" s="9" t="s">
        <v>506</v>
      </c>
      <c r="E95" s="9" t="s">
        <v>506</v>
      </c>
      <c r="F95" s="9" t="s">
        <v>504</v>
      </c>
      <c r="G95" s="9" t="s">
        <v>504</v>
      </c>
      <c r="H95" s="9" t="s">
        <v>505</v>
      </c>
      <c r="I95" s="9" t="s">
        <v>505</v>
      </c>
    </row>
    <row r="96" spans="1:9" ht="15.75" customHeight="1">
      <c r="A96" s="8" t="s">
        <v>513</v>
      </c>
      <c r="B96" s="9" t="s">
        <v>511</v>
      </c>
      <c r="C96" s="9" t="s">
        <v>507</v>
      </c>
      <c r="D96" s="9" t="s">
        <v>566</v>
      </c>
      <c r="E96" s="9" t="s">
        <v>509</v>
      </c>
      <c r="F96" s="9" t="s">
        <v>510</v>
      </c>
      <c r="G96" s="9" t="s">
        <v>508</v>
      </c>
      <c r="H96" s="9" t="s">
        <v>507</v>
      </c>
      <c r="I96" s="9" t="s">
        <v>508</v>
      </c>
    </row>
    <row r="97" spans="1:9" ht="15.75" customHeight="1">
      <c r="A97" s="8" t="s">
        <v>567</v>
      </c>
      <c r="B97" s="43">
        <f t="shared" ref="B97:I97" si="9">VLOOKUP(B95, $A$91:$F$93, MATCH(B96, $A$90:$F$90, 0), FALSE)</f>
        <v>300</v>
      </c>
      <c r="C97" s="43">
        <f t="shared" si="9"/>
        <v>2000</v>
      </c>
      <c r="D97" s="43">
        <f t="shared" si="9"/>
        <v>3000</v>
      </c>
      <c r="E97" s="43">
        <f t="shared" si="9"/>
        <v>1100</v>
      </c>
      <c r="F97" s="43">
        <f t="shared" si="9"/>
        <v>250</v>
      </c>
      <c r="G97" s="43">
        <f t="shared" si="9"/>
        <v>5000</v>
      </c>
      <c r="H97" s="43">
        <f t="shared" si="9"/>
        <v>2000</v>
      </c>
      <c r="I97" s="43">
        <f t="shared" si="9"/>
        <v>4999</v>
      </c>
    </row>
    <row r="98" spans="1:9" ht="15.75" customHeight="1"/>
    <row r="99" spans="1:9" ht="15.75" customHeight="1"/>
    <row r="100" spans="1:9" ht="15.75" customHeight="1"/>
    <row r="101" spans="1:9" ht="15.75" customHeight="1"/>
    <row r="102" spans="1:9" ht="15.75" customHeight="1"/>
    <row r="103" spans="1:9" ht="15.75" customHeight="1"/>
    <row r="104" spans="1:9" ht="15.75" customHeight="1"/>
    <row r="105" spans="1:9" ht="15.75" customHeight="1"/>
    <row r="106" spans="1:9" ht="15.75" customHeight="1"/>
    <row r="107" spans="1:9" ht="15.75" customHeight="1"/>
    <row r="108" spans="1:9" ht="15.75" customHeight="1"/>
    <row r="109" spans="1:9" ht="15.75" customHeight="1"/>
    <row r="110" spans="1:9" ht="15.75" customHeight="1"/>
    <row r="111" spans="1:9" ht="15.75" customHeight="1"/>
    <row r="112" spans="1:9"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D69:E69"/>
    <mergeCell ref="G69:H69"/>
    <mergeCell ref="A78:D78"/>
    <mergeCell ref="F54:H54"/>
    <mergeCell ref="I54:K54"/>
    <mergeCell ref="F55:H55"/>
    <mergeCell ref="I55:K55"/>
    <mergeCell ref="B60:D63"/>
    <mergeCell ref="A67:J68"/>
    <mergeCell ref="A69:B69"/>
    <mergeCell ref="F51:H51"/>
    <mergeCell ref="I51:K51"/>
    <mergeCell ref="F52:H52"/>
    <mergeCell ref="I52:K52"/>
    <mergeCell ref="F53:H53"/>
    <mergeCell ref="I53:K53"/>
    <mergeCell ref="A40:J41"/>
    <mergeCell ref="A42:B42"/>
    <mergeCell ref="D42:E42"/>
    <mergeCell ref="A49:K49"/>
    <mergeCell ref="I50:K50"/>
    <mergeCell ref="F50:H50"/>
    <mergeCell ref="D30:F30"/>
    <mergeCell ref="D31:F31"/>
    <mergeCell ref="D32:F32"/>
    <mergeCell ref="D33:F33"/>
    <mergeCell ref="A1:B1"/>
    <mergeCell ref="A4:I4"/>
    <mergeCell ref="A13:J14"/>
    <mergeCell ref="A16:J17"/>
    <mergeCell ref="D28:F28"/>
    <mergeCell ref="H28:P36"/>
    <mergeCell ref="D29:F29"/>
    <mergeCell ref="D36:F36"/>
    <mergeCell ref="D34:F34"/>
    <mergeCell ref="D35:F35"/>
  </mergeCells>
  <pageMargins left="0.7" right="0.7" top="0.75" bottom="0.75" header="0" footer="0"/>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000"/>
  <sheetViews>
    <sheetView showGridLines="0" tabSelected="1" topLeftCell="A16" workbookViewId="0">
      <selection sqref="A1:B1"/>
    </sheetView>
  </sheetViews>
  <sheetFormatPr defaultColWidth="14.42578125" defaultRowHeight="15" customHeight="1"/>
  <cols>
    <col min="1" max="1" width="12.85546875" customWidth="1"/>
    <col min="2" max="2" width="12.7109375" customWidth="1"/>
    <col min="3" max="3" width="10.140625" customWidth="1"/>
    <col min="4" max="4" width="17.140625" customWidth="1"/>
    <col min="5" max="5" width="18.14062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626</v>
      </c>
      <c r="B1" s="149"/>
      <c r="C1" s="31"/>
      <c r="D1" s="2"/>
      <c r="E1" s="2"/>
      <c r="F1" s="2"/>
      <c r="G1" s="2"/>
      <c r="H1" s="2"/>
      <c r="I1" s="2"/>
      <c r="J1" s="2"/>
      <c r="K1" s="2"/>
    </row>
    <row r="3" spans="1:11" ht="18.75">
      <c r="A3" s="3" t="s">
        <v>1</v>
      </c>
    </row>
    <row r="4" spans="1:11" ht="15" customHeight="1">
      <c r="A4" s="162" t="s">
        <v>627</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628</v>
      </c>
    </row>
    <row r="9" spans="1:11" ht="15.75">
      <c r="A9" s="6" t="s">
        <v>629</v>
      </c>
    </row>
    <row r="10" spans="1:11">
      <c r="A10" s="4" t="s">
        <v>630</v>
      </c>
    </row>
    <row r="11" spans="1:11">
      <c r="A11" s="42"/>
    </row>
    <row r="12" spans="1:11" ht="15.75">
      <c r="A12" s="6" t="s">
        <v>631</v>
      </c>
    </row>
    <row r="13" spans="1:11">
      <c r="A13" s="4" t="s">
        <v>632</v>
      </c>
    </row>
    <row r="14" spans="1:11">
      <c r="A14" s="42"/>
    </row>
    <row r="15" spans="1:11" ht="15.75">
      <c r="A15" s="6" t="s">
        <v>45</v>
      </c>
    </row>
    <row r="16" spans="1:11">
      <c r="A16" s="34" t="s">
        <v>633</v>
      </c>
    </row>
    <row r="17" spans="1:5">
      <c r="A17" s="8" t="s">
        <v>113</v>
      </c>
      <c r="B17" s="8" t="s">
        <v>114</v>
      </c>
      <c r="C17" s="8" t="s">
        <v>634</v>
      </c>
      <c r="D17" s="8" t="s">
        <v>49</v>
      </c>
      <c r="E17" s="8" t="s">
        <v>16</v>
      </c>
    </row>
    <row r="18" spans="1:5">
      <c r="A18" s="37">
        <v>5</v>
      </c>
      <c r="B18" s="37">
        <v>12</v>
      </c>
      <c r="C18" s="37">
        <v>17</v>
      </c>
      <c r="D18" s="37">
        <f>SUM(A18:C18)</f>
        <v>34</v>
      </c>
      <c r="E18" s="37" t="s">
        <v>635</v>
      </c>
    </row>
    <row r="19" spans="1:5">
      <c r="A19" s="37">
        <v>10</v>
      </c>
      <c r="B19" s="37">
        <v>18</v>
      </c>
      <c r="C19" s="37">
        <v>23</v>
      </c>
      <c r="D19" s="37">
        <f>SUM(A19,B19,C19,H18)</f>
        <v>51</v>
      </c>
      <c r="E19" s="37" t="s">
        <v>636</v>
      </c>
    </row>
    <row r="20" spans="1:5">
      <c r="A20" s="37">
        <v>20</v>
      </c>
      <c r="B20" s="37">
        <v>100</v>
      </c>
      <c r="C20" s="37">
        <v>999</v>
      </c>
      <c r="D20" s="37">
        <f>A20+B20+C20</f>
        <v>1119</v>
      </c>
      <c r="E20" s="37" t="s">
        <v>637</v>
      </c>
    </row>
    <row r="21" spans="1:5" ht="15.75" customHeight="1">
      <c r="A21" s="30"/>
      <c r="B21" s="30"/>
      <c r="C21" s="30"/>
    </row>
    <row r="22" spans="1:5" ht="15.75" customHeight="1">
      <c r="A22" s="6" t="s">
        <v>52</v>
      </c>
      <c r="B22" s="30"/>
      <c r="C22" s="30"/>
    </row>
    <row r="23" spans="1:5" ht="15.75" customHeight="1">
      <c r="A23" s="34" t="s">
        <v>633</v>
      </c>
      <c r="B23" s="30"/>
      <c r="C23" s="30"/>
    </row>
    <row r="24" spans="1:5" ht="15.75" customHeight="1">
      <c r="A24" s="8" t="s">
        <v>638</v>
      </c>
      <c r="B24" s="9">
        <v>5</v>
      </c>
      <c r="C24" s="9">
        <v>9</v>
      </c>
      <c r="D24" s="9">
        <v>12</v>
      </c>
      <c r="E24" s="9">
        <v>21</v>
      </c>
    </row>
    <row r="25" spans="1:5" ht="15.75" customHeight="1">
      <c r="A25" s="8" t="s">
        <v>639</v>
      </c>
      <c r="B25" s="9">
        <v>1</v>
      </c>
      <c r="C25" s="9">
        <v>56</v>
      </c>
      <c r="D25" s="9">
        <v>345</v>
      </c>
      <c r="E25" s="9">
        <v>23</v>
      </c>
    </row>
    <row r="26" spans="1:5" ht="15.75" customHeight="1">
      <c r="A26" s="8" t="s">
        <v>640</v>
      </c>
      <c r="B26" s="9">
        <v>2</v>
      </c>
      <c r="C26" s="9">
        <v>6</v>
      </c>
      <c r="D26" s="9">
        <v>23</v>
      </c>
      <c r="E26" s="9">
        <v>34</v>
      </c>
    </row>
    <row r="27" spans="1:5" ht="15.75" customHeight="1">
      <c r="A27" s="8" t="s">
        <v>641</v>
      </c>
      <c r="B27" s="9">
        <v>4</v>
      </c>
      <c r="C27" s="9">
        <v>12</v>
      </c>
      <c r="D27" s="9">
        <v>547</v>
      </c>
      <c r="E27" s="9">
        <v>12</v>
      </c>
    </row>
    <row r="28" spans="1:5" ht="15.75" customHeight="1">
      <c r="A28" s="8" t="s">
        <v>642</v>
      </c>
      <c r="B28" s="9">
        <f>SUM(B24:B27)</f>
        <v>12</v>
      </c>
      <c r="C28" s="9">
        <f>C24+C25+C26+C27</f>
        <v>83</v>
      </c>
      <c r="D28" s="9">
        <f>SUM(D24,D25,D26,D27)</f>
        <v>927</v>
      </c>
      <c r="E28" s="9">
        <f>SUM(E24:E25,E26:E27)</f>
        <v>90</v>
      </c>
    </row>
    <row r="29" spans="1:5" ht="39.75" customHeight="1">
      <c r="A29" s="13" t="s">
        <v>16</v>
      </c>
      <c r="B29" s="53" t="s">
        <v>643</v>
      </c>
      <c r="C29" s="53" t="s">
        <v>644</v>
      </c>
      <c r="D29" s="53" t="s">
        <v>645</v>
      </c>
      <c r="E29" s="53" t="s">
        <v>646</v>
      </c>
    </row>
    <row r="30" spans="1:5" ht="15.75" customHeight="1">
      <c r="A30" s="30"/>
      <c r="B30" s="30"/>
      <c r="C30" s="30"/>
      <c r="D30" s="30"/>
      <c r="E30" s="30"/>
    </row>
    <row r="31" spans="1:5" ht="15.75" customHeight="1">
      <c r="A31" s="6" t="s">
        <v>647</v>
      </c>
      <c r="B31" s="30"/>
      <c r="C31" s="30"/>
    </row>
    <row r="32" spans="1:5" ht="15.75" customHeight="1">
      <c r="A32" s="34" t="s">
        <v>648</v>
      </c>
      <c r="B32" s="30"/>
      <c r="C32" s="30"/>
    </row>
    <row r="33" spans="1:10" ht="15.75" customHeight="1">
      <c r="A33" s="143" t="s">
        <v>649</v>
      </c>
      <c r="B33" s="144"/>
      <c r="C33" s="145"/>
      <c r="D33" s="8" t="s">
        <v>642</v>
      </c>
      <c r="E33" s="143" t="s">
        <v>16</v>
      </c>
      <c r="F33" s="145"/>
    </row>
    <row r="34" spans="1:10" ht="15.75" customHeight="1">
      <c r="A34" s="54">
        <v>5</v>
      </c>
      <c r="B34" s="30"/>
      <c r="C34" s="54">
        <v>3</v>
      </c>
      <c r="D34" s="9">
        <f>SUM(A34,A36,C34,C36,B35:B36)</f>
        <v>16</v>
      </c>
      <c r="E34" s="55" t="s">
        <v>650</v>
      </c>
      <c r="F34" s="9"/>
    </row>
    <row r="35" spans="1:10" ht="15.75" customHeight="1">
      <c r="A35" s="30"/>
      <c r="B35" s="9">
        <v>1</v>
      </c>
      <c r="C35" s="30"/>
    </row>
    <row r="36" spans="1:10" ht="15.75" customHeight="1">
      <c r="A36" s="9">
        <v>1</v>
      </c>
      <c r="B36" s="9">
        <v>2</v>
      </c>
      <c r="C36" s="9">
        <v>4</v>
      </c>
    </row>
    <row r="37" spans="1:10" ht="15.75" customHeight="1">
      <c r="A37" s="30"/>
      <c r="B37" s="30"/>
      <c r="C37" s="30"/>
    </row>
    <row r="38" spans="1:10" ht="15.75" customHeight="1">
      <c r="A38" s="6" t="s">
        <v>25</v>
      </c>
      <c r="B38" s="30"/>
      <c r="C38" s="30"/>
    </row>
    <row r="39" spans="1:10" ht="15.75" customHeight="1">
      <c r="A39" s="141" t="s">
        <v>651</v>
      </c>
      <c r="B39" s="142"/>
      <c r="C39" s="142"/>
      <c r="D39" s="142"/>
      <c r="E39" s="142"/>
      <c r="F39" s="142"/>
      <c r="G39" s="142"/>
      <c r="H39" s="142"/>
      <c r="I39" s="142"/>
      <c r="J39" s="142"/>
    </row>
    <row r="40" spans="1:10" ht="15.75" customHeight="1">
      <c r="A40" s="142"/>
      <c r="B40" s="142"/>
      <c r="C40" s="142"/>
      <c r="D40" s="142"/>
      <c r="E40" s="142"/>
      <c r="F40" s="142"/>
      <c r="G40" s="142"/>
      <c r="H40" s="142"/>
      <c r="I40" s="142"/>
      <c r="J40" s="142"/>
    </row>
    <row r="41" spans="1:10" ht="15.75" customHeight="1">
      <c r="A41" s="30"/>
      <c r="B41" s="30"/>
      <c r="C41" s="30"/>
    </row>
    <row r="42" spans="1:10" ht="15.75" customHeight="1">
      <c r="A42" s="6" t="s">
        <v>289</v>
      </c>
    </row>
    <row r="43" spans="1:10" ht="15.75" customHeight="1">
      <c r="A43" s="4" t="s">
        <v>652</v>
      </c>
    </row>
    <row r="44" spans="1:10" ht="15.75" customHeight="1">
      <c r="A44" s="143" t="s">
        <v>649</v>
      </c>
      <c r="B44" s="144"/>
      <c r="C44" s="145"/>
      <c r="D44" s="8" t="s">
        <v>49</v>
      </c>
    </row>
    <row r="45" spans="1:10" ht="15.75" customHeight="1">
      <c r="A45" s="9">
        <v>1</v>
      </c>
      <c r="B45" s="30"/>
      <c r="C45" s="30"/>
      <c r="D45" s="15">
        <f>SUM(A45:A46, B47, C46)</f>
        <v>801</v>
      </c>
    </row>
    <row r="46" spans="1:10" ht="15.75" customHeight="1">
      <c r="A46" s="9">
        <v>100</v>
      </c>
      <c r="B46" s="30"/>
      <c r="C46" s="9">
        <v>500</v>
      </c>
    </row>
    <row r="47" spans="1:10" ht="15.75" customHeight="1">
      <c r="A47" s="30"/>
      <c r="B47" s="9">
        <v>200</v>
      </c>
      <c r="C47" s="30"/>
    </row>
    <row r="48" spans="1:10" ht="15.75" customHeight="1"/>
    <row r="49" spans="1:10" ht="15.75" customHeight="1"/>
    <row r="50" spans="1:10" ht="15.75" customHeight="1">
      <c r="A50" s="6" t="s">
        <v>292</v>
      </c>
    </row>
    <row r="51" spans="1:10" ht="15.75" customHeight="1">
      <c r="A51" s="141" t="s">
        <v>653</v>
      </c>
      <c r="B51" s="142"/>
      <c r="C51" s="142"/>
      <c r="D51" s="142"/>
      <c r="E51" s="142"/>
      <c r="F51" s="142"/>
      <c r="G51" s="142"/>
      <c r="H51" s="142"/>
      <c r="I51" s="142"/>
      <c r="J51" s="142"/>
    </row>
    <row r="52" spans="1:10" ht="15.75" customHeight="1">
      <c r="A52" s="142"/>
      <c r="B52" s="142"/>
      <c r="C52" s="142"/>
      <c r="D52" s="142"/>
      <c r="E52" s="142"/>
      <c r="F52" s="142"/>
      <c r="G52" s="142"/>
      <c r="H52" s="142"/>
      <c r="I52" s="142"/>
      <c r="J52" s="142"/>
    </row>
    <row r="53" spans="1:10" ht="15.75" customHeight="1">
      <c r="A53" s="13" t="s">
        <v>654</v>
      </c>
      <c r="B53" s="12" t="s">
        <v>114</v>
      </c>
      <c r="C53" s="12" t="s">
        <v>634</v>
      </c>
      <c r="D53" s="12" t="s">
        <v>655</v>
      </c>
      <c r="E53" s="12" t="s">
        <v>656</v>
      </c>
      <c r="F53" s="12" t="s">
        <v>49</v>
      </c>
    </row>
    <row r="54" spans="1:10" ht="15.75" customHeight="1">
      <c r="A54" s="12" t="s">
        <v>657</v>
      </c>
      <c r="B54" s="19">
        <v>5</v>
      </c>
      <c r="C54" s="19">
        <v>1</v>
      </c>
      <c r="D54" s="19">
        <v>2</v>
      </c>
      <c r="E54" s="19">
        <v>4</v>
      </c>
      <c r="F54" s="9">
        <f>IF(B54&gt;1,SUM(B54:E54),0)</f>
        <v>12</v>
      </c>
      <c r="G54" s="56" t="s">
        <v>658</v>
      </c>
    </row>
    <row r="55" spans="1:10" ht="15.75" customHeight="1">
      <c r="A55" s="12" t="s">
        <v>659</v>
      </c>
      <c r="B55" s="19">
        <v>9</v>
      </c>
      <c r="C55" s="19">
        <v>56</v>
      </c>
      <c r="D55" s="19">
        <v>6</v>
      </c>
      <c r="E55" s="19">
        <v>12</v>
      </c>
      <c r="F55" s="9">
        <f t="shared" ref="F55:F58" si="0">IF(C55&gt;50, SUM(B55:E55), 0)</f>
        <v>83</v>
      </c>
      <c r="G55" s="4" t="e">
        <f t="shared" ref="G55:G58" ca="1" si="1">_xludf.FORMULATEXT(F55)</f>
        <v>#NAME?</v>
      </c>
    </row>
    <row r="56" spans="1:10" ht="15.75" customHeight="1">
      <c r="A56" s="12" t="s">
        <v>660</v>
      </c>
      <c r="B56" s="19">
        <v>12</v>
      </c>
      <c r="C56" s="19">
        <v>345</v>
      </c>
      <c r="D56" s="19">
        <v>23</v>
      </c>
      <c r="E56" s="19">
        <v>547</v>
      </c>
      <c r="F56" s="9">
        <f t="shared" si="0"/>
        <v>927</v>
      </c>
      <c r="G56" s="4" t="e">
        <f t="shared" ca="1" si="1"/>
        <v>#NAME?</v>
      </c>
    </row>
    <row r="57" spans="1:10" ht="15.75" customHeight="1">
      <c r="A57" s="12" t="s">
        <v>661</v>
      </c>
      <c r="B57" s="19">
        <v>84.3</v>
      </c>
      <c r="C57" s="19">
        <v>59.8</v>
      </c>
      <c r="D57" s="19">
        <v>80.900000000000006</v>
      </c>
      <c r="E57" s="19">
        <v>80.5</v>
      </c>
      <c r="F57" s="9">
        <f t="shared" si="0"/>
        <v>305.5</v>
      </c>
      <c r="G57" s="4" t="e">
        <f t="shared" ca="1" si="1"/>
        <v>#NAME?</v>
      </c>
    </row>
    <row r="58" spans="1:10" ht="15.75" customHeight="1">
      <c r="A58" s="12" t="s">
        <v>662</v>
      </c>
      <c r="B58" s="19">
        <v>9.8000000000000007</v>
      </c>
      <c r="C58" s="19">
        <v>0.2</v>
      </c>
      <c r="D58" s="19">
        <v>38</v>
      </c>
      <c r="E58" s="19">
        <v>80.900000000000006</v>
      </c>
      <c r="F58" s="9">
        <f t="shared" si="0"/>
        <v>0</v>
      </c>
      <c r="G58" s="4" t="e">
        <f t="shared" ca="1" si="1"/>
        <v>#NAME?</v>
      </c>
    </row>
    <row r="59" spans="1:10" ht="15.75" customHeight="1"/>
    <row r="60" spans="1:10" ht="15.75" customHeight="1"/>
    <row r="61" spans="1:10" ht="15.75" customHeight="1">
      <c r="A61" s="6" t="s">
        <v>663</v>
      </c>
    </row>
    <row r="62" spans="1:10" ht="15.75" customHeight="1">
      <c r="A62" s="141" t="s">
        <v>664</v>
      </c>
      <c r="B62" s="142"/>
      <c r="C62" s="142"/>
      <c r="D62" s="142"/>
      <c r="E62" s="142"/>
      <c r="F62" s="142"/>
      <c r="G62" s="142"/>
      <c r="H62" s="142"/>
      <c r="I62" s="142"/>
      <c r="J62" s="142"/>
    </row>
    <row r="63" spans="1:10" ht="15.75" customHeight="1">
      <c r="A63" s="142"/>
      <c r="B63" s="142"/>
      <c r="C63" s="142"/>
      <c r="D63" s="142"/>
      <c r="E63" s="142"/>
      <c r="F63" s="142"/>
      <c r="G63" s="142"/>
      <c r="H63" s="142"/>
      <c r="I63" s="142"/>
      <c r="J63" s="142"/>
    </row>
    <row r="64" spans="1:10" ht="15.75" customHeight="1">
      <c r="A64" s="13" t="s">
        <v>665</v>
      </c>
      <c r="B64" s="13" t="s">
        <v>666</v>
      </c>
      <c r="C64" s="12" t="s">
        <v>114</v>
      </c>
      <c r="D64" s="12" t="s">
        <v>634</v>
      </c>
      <c r="E64" s="12" t="s">
        <v>655</v>
      </c>
      <c r="F64" s="12" t="s">
        <v>656</v>
      </c>
      <c r="G64" s="12" t="s">
        <v>49</v>
      </c>
    </row>
    <row r="65" spans="1:10" ht="15.75" customHeight="1">
      <c r="A65" s="12" t="s">
        <v>657</v>
      </c>
      <c r="B65" s="12" t="s">
        <v>667</v>
      </c>
      <c r="C65" s="19">
        <v>5</v>
      </c>
      <c r="D65" s="19">
        <v>1</v>
      </c>
      <c r="E65" s="19">
        <v>2</v>
      </c>
      <c r="F65" s="19">
        <v>4</v>
      </c>
      <c r="G65" s="9">
        <f>IF(AND(C65&gt;1,E65&gt;=2),SUM(C65:F65),0)</f>
        <v>12</v>
      </c>
      <c r="H65" s="56" t="s">
        <v>668</v>
      </c>
    </row>
    <row r="66" spans="1:10" ht="15.75" customHeight="1">
      <c r="A66" s="12" t="s">
        <v>659</v>
      </c>
      <c r="B66" s="12" t="s">
        <v>669</v>
      </c>
      <c r="C66" s="19">
        <v>9</v>
      </c>
      <c r="D66" s="19">
        <v>56</v>
      </c>
      <c r="E66" s="19">
        <v>6</v>
      </c>
      <c r="F66" s="19">
        <v>12</v>
      </c>
      <c r="G66" s="9">
        <f>IF(AND(C66&gt;50, A66&gt;5), SUM(C66:F66), 0)</f>
        <v>0</v>
      </c>
    </row>
    <row r="67" spans="1:10" ht="15.75" customHeight="1">
      <c r="A67" s="12" t="s">
        <v>660</v>
      </c>
      <c r="B67" s="12" t="s">
        <v>670</v>
      </c>
      <c r="C67" s="19">
        <v>12</v>
      </c>
      <c r="D67" s="19">
        <v>345</v>
      </c>
      <c r="E67" s="19">
        <v>23</v>
      </c>
      <c r="F67" s="19">
        <v>547</v>
      </c>
      <c r="G67" s="9">
        <f>IF(AND(C67&gt;500, F67&gt;500), SUM(C67:F67), 0)</f>
        <v>0</v>
      </c>
    </row>
    <row r="68" spans="1:10" ht="15.75" customHeight="1">
      <c r="A68" s="12" t="s">
        <v>661</v>
      </c>
      <c r="B68" s="12" t="s">
        <v>671</v>
      </c>
      <c r="C68" s="19">
        <v>84.3</v>
      </c>
      <c r="D68" s="19">
        <v>59.8</v>
      </c>
      <c r="E68" s="19">
        <v>80.900000000000006</v>
      </c>
      <c r="F68" s="19">
        <v>80.5</v>
      </c>
      <c r="G68" s="9">
        <f>IF(AND(F68&gt;80, A68&gt;80), SUM(C68:F68), 0)</f>
        <v>305.5</v>
      </c>
    </row>
    <row r="69" spans="1:10" ht="15.75" customHeight="1">
      <c r="A69" s="12" t="s">
        <v>662</v>
      </c>
      <c r="B69" s="12" t="s">
        <v>672</v>
      </c>
      <c r="C69" s="19">
        <v>9.8000000000000007</v>
      </c>
      <c r="D69" s="19">
        <v>0.2</v>
      </c>
      <c r="E69" s="19">
        <v>38</v>
      </c>
      <c r="F69" s="19">
        <v>80.900000000000006</v>
      </c>
      <c r="G69" s="9">
        <f>IF(AND(E69&gt;35, B69&gt;=9.8), SUM(C69:F69), 0)</f>
        <v>128.9</v>
      </c>
    </row>
    <row r="70" spans="1:10" ht="15.75" customHeight="1"/>
    <row r="71" spans="1:10" ht="15.75" customHeight="1"/>
    <row r="72" spans="1:10" ht="15.75" customHeight="1">
      <c r="A72" s="6" t="s">
        <v>673</v>
      </c>
    </row>
    <row r="73" spans="1:10" ht="15.75" customHeight="1">
      <c r="A73" s="141" t="s">
        <v>674</v>
      </c>
      <c r="B73" s="142"/>
      <c r="C73" s="142"/>
      <c r="D73" s="142"/>
      <c r="E73" s="142"/>
      <c r="F73" s="142"/>
      <c r="G73" s="142"/>
      <c r="H73" s="142"/>
      <c r="I73" s="142"/>
      <c r="J73" s="142"/>
    </row>
    <row r="74" spans="1:10" ht="15.75" customHeight="1">
      <c r="A74" s="142"/>
      <c r="B74" s="142"/>
      <c r="C74" s="142"/>
      <c r="D74" s="142"/>
      <c r="E74" s="142"/>
      <c r="F74" s="142"/>
      <c r="G74" s="142"/>
      <c r="H74" s="142"/>
      <c r="I74" s="142"/>
      <c r="J74" s="142"/>
    </row>
    <row r="75" spans="1:10" ht="15.75" customHeight="1">
      <c r="A75" s="13" t="s">
        <v>665</v>
      </c>
      <c r="B75" s="13" t="s">
        <v>666</v>
      </c>
      <c r="C75" s="12" t="s">
        <v>114</v>
      </c>
      <c r="D75" s="12" t="s">
        <v>634</v>
      </c>
      <c r="E75" s="12" t="s">
        <v>655</v>
      </c>
      <c r="F75" s="12" t="s">
        <v>656</v>
      </c>
      <c r="G75" s="12" t="s">
        <v>49</v>
      </c>
    </row>
    <row r="76" spans="1:10" ht="15.75" customHeight="1">
      <c r="A76" s="12" t="s">
        <v>657</v>
      </c>
      <c r="B76" s="12" t="s">
        <v>667</v>
      </c>
      <c r="C76" s="19">
        <v>5</v>
      </c>
      <c r="D76" s="19">
        <v>1</v>
      </c>
      <c r="E76" s="19">
        <v>2</v>
      </c>
      <c r="F76" s="19">
        <v>4</v>
      </c>
      <c r="G76" s="9">
        <f>IF(OR(C76&gt;1,E76&gt;=2),SUM(C76:F76),0)</f>
        <v>12</v>
      </c>
      <c r="H76" s="56" t="s">
        <v>675</v>
      </c>
    </row>
    <row r="77" spans="1:10" ht="15.75" customHeight="1">
      <c r="A77" s="12" t="s">
        <v>659</v>
      </c>
      <c r="B77" s="12" t="s">
        <v>669</v>
      </c>
      <c r="C77" s="19">
        <v>9</v>
      </c>
      <c r="D77" s="19">
        <v>56</v>
      </c>
      <c r="E77" s="19">
        <v>6</v>
      </c>
      <c r="F77" s="19">
        <v>12</v>
      </c>
      <c r="G77" s="9">
        <f>IF(OR(C77&gt;50, A77&gt;5), SUM(C77:F77), 0)</f>
        <v>83</v>
      </c>
    </row>
    <row r="78" spans="1:10" ht="15.75" customHeight="1">
      <c r="A78" s="12" t="s">
        <v>660</v>
      </c>
      <c r="B78" s="12" t="s">
        <v>670</v>
      </c>
      <c r="C78" s="19">
        <v>12</v>
      </c>
      <c r="D78" s="19">
        <v>345</v>
      </c>
      <c r="E78" s="19">
        <v>23</v>
      </c>
      <c r="F78" s="19">
        <v>547</v>
      </c>
      <c r="G78" s="9">
        <f>IF(OR(C78&gt;500, F78&gt;500), SUM(C78:F78), 0)</f>
        <v>927</v>
      </c>
    </row>
    <row r="79" spans="1:10" ht="15.75" customHeight="1">
      <c r="A79" s="12" t="s">
        <v>661</v>
      </c>
      <c r="B79" s="12" t="s">
        <v>671</v>
      </c>
      <c r="C79" s="19">
        <v>84.3</v>
      </c>
      <c r="D79" s="19">
        <v>59.8</v>
      </c>
      <c r="E79" s="19">
        <v>80.900000000000006</v>
      </c>
      <c r="F79" s="19">
        <v>80.5</v>
      </c>
      <c r="G79" s="9">
        <f>IF(OR(F79&gt;80, A79&gt;80), SUM(C79:F79), 0)</f>
        <v>305.5</v>
      </c>
    </row>
    <row r="80" spans="1:10" ht="15.75" customHeight="1">
      <c r="A80" s="12" t="s">
        <v>662</v>
      </c>
      <c r="B80" s="12" t="s">
        <v>672</v>
      </c>
      <c r="C80" s="19">
        <v>9.8000000000000007</v>
      </c>
      <c r="D80" s="19">
        <v>0.2</v>
      </c>
      <c r="E80" s="19">
        <v>38</v>
      </c>
      <c r="F80" s="19">
        <v>80.900000000000006</v>
      </c>
      <c r="G80" s="9">
        <f>IF(OR(C80&gt;50, A80&gt;5), SUM(C80:F80), 0)</f>
        <v>128.9</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2:J63"/>
    <mergeCell ref="A73:J74"/>
    <mergeCell ref="A1:B1"/>
    <mergeCell ref="A4:I4"/>
    <mergeCell ref="A33:C33"/>
    <mergeCell ref="E33:F33"/>
    <mergeCell ref="A39:J40"/>
    <mergeCell ref="A44:C44"/>
    <mergeCell ref="A51:J52"/>
  </mergeCells>
  <pageMargins left="0.7" right="0.7" top="0.75" bottom="0.75" header="0" footer="0"/>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1.5703125" customWidth="1"/>
    <col min="4" max="4" width="13.8554687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676</v>
      </c>
      <c r="B1" s="149"/>
      <c r="C1" s="31"/>
      <c r="D1" s="2"/>
      <c r="E1" s="2"/>
      <c r="F1" s="2"/>
      <c r="G1" s="2"/>
      <c r="H1" s="2"/>
      <c r="I1" s="2"/>
      <c r="J1" s="2"/>
      <c r="K1" s="2"/>
    </row>
    <row r="3" spans="1:11" ht="18.75">
      <c r="A3" s="3" t="s">
        <v>1</v>
      </c>
    </row>
    <row r="4" spans="1:11" ht="15" customHeight="1">
      <c r="A4" s="162" t="s">
        <v>677</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678</v>
      </c>
    </row>
    <row r="9" spans="1:11" ht="15.75">
      <c r="A9" s="6" t="s">
        <v>597</v>
      </c>
    </row>
    <row r="10" spans="1:11">
      <c r="A10" s="4" t="s">
        <v>679</v>
      </c>
    </row>
    <row r="11" spans="1:11">
      <c r="A11" s="42"/>
    </row>
    <row r="12" spans="1:11" ht="15.75">
      <c r="A12" s="6" t="s">
        <v>680</v>
      </c>
    </row>
    <row r="13" spans="1:11">
      <c r="A13" s="4" t="s">
        <v>681</v>
      </c>
    </row>
    <row r="14" spans="1:11">
      <c r="A14" s="42"/>
    </row>
    <row r="15" spans="1:11" ht="15.75">
      <c r="A15" s="6" t="s">
        <v>682</v>
      </c>
    </row>
    <row r="16" spans="1:11">
      <c r="A16" s="141" t="s">
        <v>683</v>
      </c>
      <c r="B16" s="142"/>
      <c r="C16" s="142"/>
      <c r="D16" s="142"/>
      <c r="E16" s="142"/>
      <c r="F16" s="142"/>
      <c r="G16" s="142"/>
      <c r="H16" s="142"/>
      <c r="I16" s="142"/>
      <c r="J16" s="142"/>
    </row>
    <row r="17" spans="1:10" ht="15" customHeight="1">
      <c r="A17" s="142"/>
      <c r="B17" s="142"/>
      <c r="C17" s="142"/>
      <c r="D17" s="142"/>
      <c r="E17" s="142"/>
      <c r="F17" s="142"/>
      <c r="G17" s="142"/>
      <c r="H17" s="142"/>
      <c r="I17" s="142"/>
      <c r="J17" s="142"/>
    </row>
    <row r="18" spans="1:10">
      <c r="A18" s="42"/>
    </row>
    <row r="19" spans="1:10" ht="15.75">
      <c r="A19" s="6" t="s">
        <v>45</v>
      </c>
    </row>
    <row r="20" spans="1:10">
      <c r="A20" s="34" t="s">
        <v>684</v>
      </c>
    </row>
    <row r="21" spans="1:10" ht="15.75" customHeight="1">
      <c r="A21" s="8" t="s">
        <v>608</v>
      </c>
      <c r="B21" s="8" t="s">
        <v>685</v>
      </c>
      <c r="C21" s="8" t="s">
        <v>30</v>
      </c>
      <c r="D21" s="8" t="s">
        <v>686</v>
      </c>
      <c r="E21" s="8" t="s">
        <v>31</v>
      </c>
    </row>
    <row r="22" spans="1:10" ht="15.75" customHeight="1">
      <c r="A22" s="37" t="s">
        <v>32</v>
      </c>
      <c r="B22" s="37" t="s">
        <v>561</v>
      </c>
      <c r="C22" s="37" t="s">
        <v>33</v>
      </c>
      <c r="D22" s="24">
        <v>42736</v>
      </c>
      <c r="E22" s="57">
        <v>40000</v>
      </c>
    </row>
    <row r="23" spans="1:10" ht="15.75" customHeight="1">
      <c r="A23" s="37" t="s">
        <v>34</v>
      </c>
      <c r="B23" s="37" t="s">
        <v>555</v>
      </c>
      <c r="C23" s="37" t="s">
        <v>33</v>
      </c>
      <c r="D23" s="24">
        <v>42705</v>
      </c>
      <c r="E23" s="57">
        <v>75000</v>
      </c>
    </row>
    <row r="24" spans="1:10" ht="15.75" customHeight="1">
      <c r="A24" s="37" t="s">
        <v>36</v>
      </c>
      <c r="B24" s="37" t="s">
        <v>64</v>
      </c>
      <c r="C24" s="37" t="s">
        <v>33</v>
      </c>
      <c r="D24" s="24">
        <v>42705</v>
      </c>
      <c r="E24" s="57">
        <v>30000</v>
      </c>
    </row>
    <row r="25" spans="1:10" ht="15.75" customHeight="1">
      <c r="A25" s="37" t="s">
        <v>37</v>
      </c>
      <c r="B25" s="9" t="s">
        <v>555</v>
      </c>
      <c r="C25" s="9" t="s">
        <v>33</v>
      </c>
      <c r="D25" s="24">
        <v>42675</v>
      </c>
      <c r="E25" s="57">
        <v>80000</v>
      </c>
    </row>
    <row r="26" spans="1:10" ht="15.75" customHeight="1">
      <c r="A26" s="37" t="s">
        <v>213</v>
      </c>
      <c r="B26" s="9" t="s">
        <v>561</v>
      </c>
      <c r="C26" s="9" t="s">
        <v>35</v>
      </c>
      <c r="D26" s="24">
        <v>42644</v>
      </c>
      <c r="E26" s="57">
        <v>35000</v>
      </c>
    </row>
    <row r="27" spans="1:10" ht="15.75" customHeight="1">
      <c r="A27" s="37" t="s">
        <v>215</v>
      </c>
      <c r="B27" s="9" t="s">
        <v>64</v>
      </c>
      <c r="C27" s="9" t="s">
        <v>35</v>
      </c>
      <c r="D27" s="24">
        <v>42675</v>
      </c>
      <c r="E27" s="57">
        <v>25000</v>
      </c>
    </row>
    <row r="28" spans="1:10" ht="15.75" customHeight="1">
      <c r="A28" s="37" t="s">
        <v>217</v>
      </c>
      <c r="B28" s="9" t="s">
        <v>555</v>
      </c>
      <c r="C28" s="9" t="s">
        <v>35</v>
      </c>
      <c r="D28" s="24">
        <v>42644</v>
      </c>
      <c r="E28" s="57">
        <v>60000</v>
      </c>
    </row>
    <row r="29" spans="1:10" ht="15.75" customHeight="1">
      <c r="A29" s="37" t="s">
        <v>687</v>
      </c>
      <c r="B29" s="9" t="s">
        <v>64</v>
      </c>
      <c r="C29" s="9" t="s">
        <v>35</v>
      </c>
      <c r="D29" s="24">
        <v>42675</v>
      </c>
      <c r="E29" s="57">
        <v>20000</v>
      </c>
    </row>
    <row r="30" spans="1:10" ht="15.75" customHeight="1">
      <c r="A30" s="37" t="s">
        <v>688</v>
      </c>
      <c r="B30" s="53" t="s">
        <v>559</v>
      </c>
      <c r="C30" s="9" t="s">
        <v>35</v>
      </c>
      <c r="D30" s="24">
        <v>42644</v>
      </c>
      <c r="E30" s="58">
        <v>40000</v>
      </c>
    </row>
    <row r="31" spans="1:10" ht="15.75" customHeight="1">
      <c r="A31" s="37" t="s">
        <v>689</v>
      </c>
      <c r="B31" s="53" t="s">
        <v>559</v>
      </c>
      <c r="C31" s="9" t="s">
        <v>35</v>
      </c>
      <c r="D31" s="24">
        <v>42644</v>
      </c>
      <c r="E31" s="58">
        <v>38000</v>
      </c>
    </row>
    <row r="32" spans="1:10" ht="15.75" customHeight="1">
      <c r="A32" s="6"/>
      <c r="B32" s="30"/>
      <c r="C32" s="30"/>
    </row>
    <row r="33" spans="1:6" ht="15.75" customHeight="1">
      <c r="A33" s="6"/>
      <c r="B33" s="30"/>
      <c r="C33" s="8" t="s">
        <v>642</v>
      </c>
      <c r="D33" s="165" t="s">
        <v>16</v>
      </c>
      <c r="E33" s="144"/>
      <c r="F33" s="145"/>
    </row>
    <row r="34" spans="1:6" ht="15.75" customHeight="1">
      <c r="A34" s="175" t="s">
        <v>690</v>
      </c>
      <c r="B34" s="142"/>
      <c r="C34" s="58">
        <f>SUMIF(B22:B31,"Analytics",E22:E31)</f>
        <v>215000</v>
      </c>
      <c r="D34" s="163" t="s">
        <v>691</v>
      </c>
      <c r="E34" s="144"/>
      <c r="F34" s="145"/>
    </row>
    <row r="35" spans="1:6" ht="15.75" customHeight="1">
      <c r="A35" s="175" t="s">
        <v>690</v>
      </c>
      <c r="B35" s="142"/>
      <c r="C35" s="58">
        <f>SUMIF(B22:B31,"IT",E22:E31)</f>
        <v>78000</v>
      </c>
      <c r="D35" s="163" t="s">
        <v>692</v>
      </c>
      <c r="E35" s="144"/>
      <c r="F35" s="145"/>
    </row>
    <row r="36" spans="1:6" ht="15.75" customHeight="1">
      <c r="A36" s="6"/>
      <c r="B36" s="30"/>
      <c r="C36" s="30"/>
    </row>
    <row r="37" spans="1:6" ht="15.75" customHeight="1">
      <c r="A37" s="30"/>
      <c r="B37" s="30"/>
      <c r="C37" s="30"/>
    </row>
    <row r="38" spans="1:6" ht="15.75" customHeight="1">
      <c r="A38" s="6" t="s">
        <v>52</v>
      </c>
    </row>
    <row r="39" spans="1:6" ht="15.75" customHeight="1">
      <c r="A39" s="34" t="s">
        <v>693</v>
      </c>
    </row>
    <row r="40" spans="1:6" ht="15.75" customHeight="1">
      <c r="A40" s="8" t="s">
        <v>608</v>
      </c>
      <c r="B40" s="8" t="s">
        <v>685</v>
      </c>
      <c r="C40" s="8" t="s">
        <v>30</v>
      </c>
      <c r="D40" s="8" t="s">
        <v>686</v>
      </c>
      <c r="E40" s="8" t="s">
        <v>31</v>
      </c>
    </row>
    <row r="41" spans="1:6" ht="15.75" customHeight="1">
      <c r="A41" s="37" t="s">
        <v>32</v>
      </c>
      <c r="B41" s="37" t="s">
        <v>561</v>
      </c>
      <c r="C41" s="37" t="s">
        <v>33</v>
      </c>
      <c r="D41" s="24">
        <v>42736</v>
      </c>
      <c r="E41" s="57">
        <v>40000</v>
      </c>
    </row>
    <row r="42" spans="1:6" ht="15.75" customHeight="1">
      <c r="A42" s="37" t="s">
        <v>34</v>
      </c>
      <c r="B42" s="37" t="s">
        <v>555</v>
      </c>
      <c r="C42" s="37" t="s">
        <v>33</v>
      </c>
      <c r="D42" s="24">
        <v>42705</v>
      </c>
      <c r="E42" s="57">
        <v>75000</v>
      </c>
    </row>
    <row r="43" spans="1:6" ht="15.75" customHeight="1">
      <c r="A43" s="37" t="s">
        <v>36</v>
      </c>
      <c r="B43" s="37" t="s">
        <v>64</v>
      </c>
      <c r="C43" s="37" t="s">
        <v>33</v>
      </c>
      <c r="D43" s="24">
        <v>42705</v>
      </c>
      <c r="E43" s="57">
        <v>30000</v>
      </c>
    </row>
    <row r="44" spans="1:6" ht="15.75" customHeight="1">
      <c r="A44" s="37" t="s">
        <v>37</v>
      </c>
      <c r="B44" s="9" t="s">
        <v>555</v>
      </c>
      <c r="C44" s="9" t="s">
        <v>33</v>
      </c>
      <c r="D44" s="24">
        <v>42675</v>
      </c>
      <c r="E44" s="57">
        <v>80000</v>
      </c>
    </row>
    <row r="45" spans="1:6" ht="15.75" customHeight="1">
      <c r="A45" s="37" t="s">
        <v>213</v>
      </c>
      <c r="B45" s="9" t="s">
        <v>561</v>
      </c>
      <c r="C45" s="9" t="s">
        <v>35</v>
      </c>
      <c r="D45" s="24">
        <v>42644</v>
      </c>
      <c r="E45" s="57">
        <v>35000</v>
      </c>
    </row>
    <row r="46" spans="1:6" ht="15.75" customHeight="1">
      <c r="A46" s="37" t="s">
        <v>215</v>
      </c>
      <c r="B46" s="9" t="s">
        <v>64</v>
      </c>
      <c r="C46" s="9" t="s">
        <v>35</v>
      </c>
      <c r="D46" s="24">
        <v>42675</v>
      </c>
      <c r="E46" s="57">
        <v>25000</v>
      </c>
    </row>
    <row r="47" spans="1:6" ht="15.75" customHeight="1">
      <c r="A47" s="37" t="s">
        <v>217</v>
      </c>
      <c r="B47" s="9" t="s">
        <v>555</v>
      </c>
      <c r="C47" s="9" t="s">
        <v>35</v>
      </c>
      <c r="D47" s="24">
        <v>42644</v>
      </c>
      <c r="E47" s="57">
        <v>60000</v>
      </c>
    </row>
    <row r="48" spans="1:6" ht="15.75" customHeight="1">
      <c r="A48" s="37" t="s">
        <v>687</v>
      </c>
      <c r="B48" s="9" t="s">
        <v>64</v>
      </c>
      <c r="C48" s="9" t="s">
        <v>35</v>
      </c>
      <c r="D48" s="24">
        <v>42675</v>
      </c>
      <c r="E48" s="57">
        <v>20000</v>
      </c>
    </row>
    <row r="49" spans="1:6" ht="15.75" customHeight="1">
      <c r="A49" s="37" t="s">
        <v>688</v>
      </c>
      <c r="B49" s="53" t="s">
        <v>559</v>
      </c>
      <c r="C49" s="9" t="s">
        <v>35</v>
      </c>
      <c r="D49" s="24">
        <v>42644</v>
      </c>
      <c r="E49" s="58">
        <v>40000</v>
      </c>
    </row>
    <row r="50" spans="1:6" ht="15.75" customHeight="1">
      <c r="A50" s="37" t="s">
        <v>689</v>
      </c>
      <c r="B50" s="53" t="s">
        <v>559</v>
      </c>
      <c r="C50" s="9" t="s">
        <v>35</v>
      </c>
      <c r="D50" s="24">
        <v>42644</v>
      </c>
      <c r="E50" s="58">
        <v>38000</v>
      </c>
    </row>
    <row r="51" spans="1:6" ht="15.75" customHeight="1">
      <c r="A51" s="6"/>
      <c r="B51" s="30"/>
      <c r="C51" s="30"/>
    </row>
    <row r="52" spans="1:6" ht="15.75" customHeight="1">
      <c r="A52" s="150" t="s">
        <v>694</v>
      </c>
      <c r="B52" s="152"/>
      <c r="C52" s="8" t="s">
        <v>642</v>
      </c>
      <c r="D52" s="165" t="s">
        <v>16</v>
      </c>
      <c r="E52" s="144"/>
      <c r="F52" s="145"/>
    </row>
    <row r="53" spans="1:6" ht="15.75" customHeight="1">
      <c r="A53" s="155"/>
      <c r="B53" s="157"/>
      <c r="C53" s="58">
        <f>SUMIF(D41:D50,"&lt;01-Dec-2016",E41:E50)</f>
        <v>298000</v>
      </c>
      <c r="D53" s="163" t="s">
        <v>695</v>
      </c>
      <c r="E53" s="144"/>
      <c r="F53" s="145"/>
    </row>
    <row r="54" spans="1:6" ht="15.75" customHeight="1">
      <c r="A54" s="30"/>
      <c r="B54" s="30"/>
      <c r="C54" s="30"/>
    </row>
    <row r="55" spans="1:6" ht="15.75" customHeight="1">
      <c r="A55" s="30"/>
      <c r="B55" s="30"/>
      <c r="C55" s="30"/>
    </row>
    <row r="56" spans="1:6" ht="15.75" customHeight="1">
      <c r="A56" s="6" t="s">
        <v>289</v>
      </c>
      <c r="B56" s="30"/>
      <c r="C56" s="30"/>
    </row>
    <row r="57" spans="1:6" ht="15.75" customHeight="1">
      <c r="A57" s="34" t="s">
        <v>696</v>
      </c>
    </row>
    <row r="58" spans="1:6" ht="15.75" customHeight="1">
      <c r="A58" s="8" t="s">
        <v>608</v>
      </c>
      <c r="B58" s="8" t="s">
        <v>685</v>
      </c>
      <c r="C58" s="8" t="s">
        <v>30</v>
      </c>
      <c r="D58" s="8" t="s">
        <v>686</v>
      </c>
      <c r="E58" s="8" t="s">
        <v>31</v>
      </c>
    </row>
    <row r="59" spans="1:6" ht="15.75" customHeight="1">
      <c r="A59" s="37" t="s">
        <v>32</v>
      </c>
      <c r="B59" s="37" t="s">
        <v>561</v>
      </c>
      <c r="C59" s="37" t="s">
        <v>33</v>
      </c>
      <c r="D59" s="24">
        <v>42736</v>
      </c>
      <c r="E59" s="57">
        <v>40000</v>
      </c>
    </row>
    <row r="60" spans="1:6" ht="15.75" customHeight="1">
      <c r="A60" s="37" t="s">
        <v>34</v>
      </c>
      <c r="B60" s="37" t="s">
        <v>555</v>
      </c>
      <c r="C60" s="37" t="s">
        <v>33</v>
      </c>
      <c r="D60" s="24">
        <v>42705</v>
      </c>
      <c r="E60" s="57">
        <v>75000</v>
      </c>
    </row>
    <row r="61" spans="1:6" ht="15.75" customHeight="1">
      <c r="A61" s="37" t="s">
        <v>36</v>
      </c>
      <c r="B61" s="37" t="s">
        <v>64</v>
      </c>
      <c r="C61" s="37" t="s">
        <v>33</v>
      </c>
      <c r="D61" s="24">
        <v>42705</v>
      </c>
      <c r="E61" s="57">
        <v>30000</v>
      </c>
    </row>
    <row r="62" spans="1:6" ht="15.75" customHeight="1">
      <c r="A62" s="37" t="s">
        <v>37</v>
      </c>
      <c r="B62" s="9" t="s">
        <v>555</v>
      </c>
      <c r="C62" s="9" t="s">
        <v>33</v>
      </c>
      <c r="D62" s="24">
        <v>42675</v>
      </c>
      <c r="E62" s="57">
        <v>80000</v>
      </c>
    </row>
    <row r="63" spans="1:6" ht="15.75" customHeight="1">
      <c r="A63" s="37" t="s">
        <v>213</v>
      </c>
      <c r="B63" s="9" t="s">
        <v>561</v>
      </c>
      <c r="C63" s="9" t="s">
        <v>35</v>
      </c>
      <c r="D63" s="24">
        <v>42644</v>
      </c>
      <c r="E63" s="57">
        <v>35000</v>
      </c>
    </row>
    <row r="64" spans="1:6" ht="15.75" customHeight="1">
      <c r="A64" s="37" t="s">
        <v>215</v>
      </c>
      <c r="B64" s="9" t="s">
        <v>64</v>
      </c>
      <c r="C64" s="9" t="s">
        <v>35</v>
      </c>
      <c r="D64" s="24">
        <v>42675</v>
      </c>
      <c r="E64" s="57">
        <v>25000</v>
      </c>
    </row>
    <row r="65" spans="1:7" ht="15.75" customHeight="1">
      <c r="A65" s="37" t="s">
        <v>217</v>
      </c>
      <c r="B65" s="9" t="s">
        <v>555</v>
      </c>
      <c r="C65" s="9" t="s">
        <v>35</v>
      </c>
      <c r="D65" s="24">
        <v>42644</v>
      </c>
      <c r="E65" s="57">
        <v>60000</v>
      </c>
    </row>
    <row r="66" spans="1:7" ht="15.75" customHeight="1">
      <c r="A66" s="37" t="s">
        <v>687</v>
      </c>
      <c r="B66" s="9" t="s">
        <v>64</v>
      </c>
      <c r="C66" s="9" t="s">
        <v>35</v>
      </c>
      <c r="D66" s="24">
        <v>42675</v>
      </c>
      <c r="E66" s="57">
        <v>20000</v>
      </c>
    </row>
    <row r="67" spans="1:7" ht="15.75" customHeight="1">
      <c r="A67" s="37" t="s">
        <v>688</v>
      </c>
      <c r="B67" s="53" t="s">
        <v>559</v>
      </c>
      <c r="C67" s="9" t="s">
        <v>35</v>
      </c>
      <c r="D67" s="24">
        <v>42644</v>
      </c>
      <c r="E67" s="58">
        <v>40000</v>
      </c>
    </row>
    <row r="68" spans="1:7" ht="15.75" customHeight="1">
      <c r="A68" s="37" t="s">
        <v>689</v>
      </c>
      <c r="B68" s="53" t="s">
        <v>559</v>
      </c>
      <c r="C68" s="9" t="s">
        <v>35</v>
      </c>
      <c r="D68" s="24">
        <v>42644</v>
      </c>
      <c r="E68" s="58">
        <v>38000</v>
      </c>
    </row>
    <row r="69" spans="1:7" ht="15.75" customHeight="1">
      <c r="A69" s="6"/>
      <c r="B69" s="30"/>
      <c r="C69" s="30"/>
    </row>
    <row r="70" spans="1:7" ht="15.75" customHeight="1">
      <c r="A70" s="6"/>
      <c r="B70" s="30"/>
      <c r="C70" s="8" t="s">
        <v>49</v>
      </c>
      <c r="D70" s="165" t="s">
        <v>16</v>
      </c>
      <c r="E70" s="144"/>
      <c r="F70" s="145"/>
    </row>
    <row r="71" spans="1:7" ht="15.75" customHeight="1">
      <c r="A71" s="175" t="s">
        <v>690</v>
      </c>
      <c r="B71" s="142"/>
      <c r="C71" s="58">
        <v>225000</v>
      </c>
      <c r="D71" s="176">
        <f>SUMIF(B59:B68, "Analytics", E59:E68)</f>
        <v>215000</v>
      </c>
      <c r="E71" s="144"/>
      <c r="F71" s="145"/>
      <c r="G71" s="4" t="e">
        <f ca="1">_xludf.FORMULATEXT(D71)</f>
        <v>#NAME?</v>
      </c>
    </row>
    <row r="72" spans="1:7" ht="15.75" customHeight="1"/>
    <row r="73" spans="1:7" ht="15.75" customHeight="1"/>
    <row r="74" spans="1:7" ht="15.75" customHeight="1">
      <c r="A74" s="6" t="s">
        <v>292</v>
      </c>
      <c r="B74" s="30"/>
      <c r="C74" s="30"/>
    </row>
    <row r="75" spans="1:7" ht="15.75" customHeight="1">
      <c r="A75" s="34" t="s">
        <v>697</v>
      </c>
    </row>
    <row r="76" spans="1:7" ht="15.75" customHeight="1">
      <c r="A76" s="8" t="s">
        <v>608</v>
      </c>
      <c r="B76" s="8" t="s">
        <v>685</v>
      </c>
      <c r="C76" s="8" t="s">
        <v>30</v>
      </c>
      <c r="D76" s="8" t="s">
        <v>686</v>
      </c>
      <c r="E76" s="8" t="s">
        <v>31</v>
      </c>
    </row>
    <row r="77" spans="1:7" ht="15.75" customHeight="1">
      <c r="A77" s="37" t="s">
        <v>32</v>
      </c>
      <c r="B77" s="37" t="s">
        <v>561</v>
      </c>
      <c r="C77" s="37" t="s">
        <v>33</v>
      </c>
      <c r="D77" s="24">
        <v>42736</v>
      </c>
      <c r="E77" s="57">
        <v>40000</v>
      </c>
    </row>
    <row r="78" spans="1:7" ht="15.75" customHeight="1">
      <c r="A78" s="37" t="s">
        <v>34</v>
      </c>
      <c r="B78" s="37" t="s">
        <v>555</v>
      </c>
      <c r="C78" s="37" t="s">
        <v>33</v>
      </c>
      <c r="D78" s="24">
        <v>42705</v>
      </c>
      <c r="E78" s="57">
        <v>75000</v>
      </c>
    </row>
    <row r="79" spans="1:7" ht="15.75" customHeight="1">
      <c r="A79" s="37" t="s">
        <v>36</v>
      </c>
      <c r="B79" s="37" t="s">
        <v>64</v>
      </c>
      <c r="C79" s="37" t="s">
        <v>33</v>
      </c>
      <c r="D79" s="24">
        <v>42705</v>
      </c>
      <c r="E79" s="57">
        <v>30000</v>
      </c>
    </row>
    <row r="80" spans="1:7" ht="15.75" customHeight="1">
      <c r="A80" s="37" t="s">
        <v>37</v>
      </c>
      <c r="B80" s="9" t="s">
        <v>555</v>
      </c>
      <c r="C80" s="9" t="s">
        <v>33</v>
      </c>
      <c r="D80" s="24">
        <v>42675</v>
      </c>
      <c r="E80" s="57">
        <v>80000</v>
      </c>
    </row>
    <row r="81" spans="1:7" ht="15.75" customHeight="1">
      <c r="A81" s="37" t="s">
        <v>213</v>
      </c>
      <c r="B81" s="9" t="s">
        <v>561</v>
      </c>
      <c r="C81" s="9" t="s">
        <v>35</v>
      </c>
      <c r="D81" s="24">
        <v>42644</v>
      </c>
      <c r="E81" s="57">
        <v>35000</v>
      </c>
    </row>
    <row r="82" spans="1:7" ht="15.75" customHeight="1">
      <c r="A82" s="37" t="s">
        <v>215</v>
      </c>
      <c r="B82" s="9" t="s">
        <v>64</v>
      </c>
      <c r="C82" s="9" t="s">
        <v>35</v>
      </c>
      <c r="D82" s="24">
        <v>42675</v>
      </c>
      <c r="E82" s="57">
        <v>25000</v>
      </c>
    </row>
    <row r="83" spans="1:7" ht="15.75" customHeight="1">
      <c r="A83" s="37" t="s">
        <v>217</v>
      </c>
      <c r="B83" s="9" t="s">
        <v>555</v>
      </c>
      <c r="C83" s="9" t="s">
        <v>35</v>
      </c>
      <c r="D83" s="24">
        <v>42644</v>
      </c>
      <c r="E83" s="57">
        <v>60000</v>
      </c>
    </row>
    <row r="84" spans="1:7" ht="15.75" customHeight="1">
      <c r="A84" s="37" t="s">
        <v>687</v>
      </c>
      <c r="B84" s="9" t="s">
        <v>64</v>
      </c>
      <c r="C84" s="9" t="s">
        <v>35</v>
      </c>
      <c r="D84" s="24">
        <v>42675</v>
      </c>
      <c r="E84" s="57">
        <v>20000</v>
      </c>
    </row>
    <row r="85" spans="1:7" ht="15.75" customHeight="1">
      <c r="A85" s="37" t="s">
        <v>688</v>
      </c>
      <c r="B85" s="53" t="s">
        <v>559</v>
      </c>
      <c r="C85" s="9" t="s">
        <v>35</v>
      </c>
      <c r="D85" s="24">
        <v>42644</v>
      </c>
      <c r="E85" s="58">
        <v>40000</v>
      </c>
    </row>
    <row r="86" spans="1:7" ht="15.75" customHeight="1">
      <c r="A86" s="37" t="s">
        <v>689</v>
      </c>
      <c r="B86" s="53" t="s">
        <v>559</v>
      </c>
      <c r="C86" s="9" t="s">
        <v>35</v>
      </c>
      <c r="D86" s="24">
        <v>42644</v>
      </c>
      <c r="E86" s="58">
        <v>38000</v>
      </c>
    </row>
    <row r="87" spans="1:7" ht="15.75" customHeight="1">
      <c r="A87" s="6"/>
      <c r="B87" s="30"/>
      <c r="C87" s="30"/>
    </row>
    <row r="88" spans="1:7" ht="15.75" customHeight="1">
      <c r="A88" s="6"/>
      <c r="B88" s="30"/>
      <c r="C88" s="8" t="s">
        <v>49</v>
      </c>
      <c r="D88" s="165" t="s">
        <v>16</v>
      </c>
      <c r="E88" s="144"/>
      <c r="F88" s="145"/>
    </row>
    <row r="89" spans="1:7" ht="15.75" customHeight="1">
      <c r="A89" s="175" t="s">
        <v>690</v>
      </c>
      <c r="B89" s="142"/>
      <c r="C89" s="58">
        <v>173000</v>
      </c>
      <c r="D89" s="176">
        <f>SUMIF(D77:D86, "10/1/2016", E77:E86)</f>
        <v>0</v>
      </c>
      <c r="E89" s="144"/>
      <c r="F89" s="145"/>
      <c r="G89" s="4" t="e">
        <f ca="1">_xludf.FORMULATEXT(D89)</f>
        <v>#NAME?</v>
      </c>
    </row>
    <row r="90" spans="1:7" ht="15.75" customHeight="1"/>
    <row r="91" spans="1:7" ht="15.75" customHeight="1"/>
    <row r="92" spans="1:7" ht="15.75" customHeight="1"/>
    <row r="93" spans="1:7" ht="15.75" customHeight="1"/>
    <row r="94" spans="1:7" ht="15.75" customHeight="1"/>
    <row r="95" spans="1:7" ht="15.75" customHeight="1"/>
    <row r="96" spans="1:7"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D35:F35"/>
    <mergeCell ref="D88:F88"/>
    <mergeCell ref="A89:B89"/>
    <mergeCell ref="D89:F89"/>
    <mergeCell ref="A35:B35"/>
    <mergeCell ref="A52:B53"/>
    <mergeCell ref="D52:F52"/>
    <mergeCell ref="D53:F53"/>
    <mergeCell ref="D70:F70"/>
    <mergeCell ref="A71:B71"/>
    <mergeCell ref="D71:F71"/>
    <mergeCell ref="A1:B1"/>
    <mergeCell ref="A4:I4"/>
    <mergeCell ref="A16:J17"/>
    <mergeCell ref="D33:F33"/>
    <mergeCell ref="A34:B34"/>
    <mergeCell ref="D34:F34"/>
  </mergeCells>
  <pageMargins left="0.7" right="0.7" top="0.75" bottom="0.75" header="0" footer="0"/>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698</v>
      </c>
      <c r="B1" s="149"/>
      <c r="C1" s="149"/>
      <c r="D1" s="2"/>
      <c r="E1" s="2"/>
      <c r="F1" s="2"/>
      <c r="G1" s="2"/>
      <c r="H1" s="2"/>
      <c r="I1" s="2"/>
      <c r="J1" s="2"/>
      <c r="K1" s="2"/>
    </row>
    <row r="3" spans="1:11" ht="18.75">
      <c r="A3" s="3" t="s">
        <v>1</v>
      </c>
    </row>
    <row r="4" spans="1:11" ht="15" customHeight="1">
      <c r="A4" s="162" t="s">
        <v>699</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700</v>
      </c>
    </row>
    <row r="9" spans="1:11" ht="15.75">
      <c r="A9" s="6" t="s">
        <v>701</v>
      </c>
    </row>
    <row r="10" spans="1:11">
      <c r="A10" s="4" t="s">
        <v>702</v>
      </c>
    </row>
    <row r="11" spans="1:11">
      <c r="A11" s="42"/>
    </row>
    <row r="12" spans="1:11" ht="15.75">
      <c r="A12" s="6" t="s">
        <v>703</v>
      </c>
    </row>
    <row r="13" spans="1:11">
      <c r="A13" s="4" t="s">
        <v>704</v>
      </c>
    </row>
    <row r="14" spans="1:11">
      <c r="A14" s="42"/>
    </row>
    <row r="15" spans="1:11" ht="15.75">
      <c r="A15" s="6" t="s">
        <v>45</v>
      </c>
    </row>
    <row r="16" spans="1:11">
      <c r="A16" s="34" t="s">
        <v>705</v>
      </c>
    </row>
    <row r="17" spans="1:6">
      <c r="A17" s="8" t="s">
        <v>706</v>
      </c>
      <c r="B17" s="8" t="s">
        <v>707</v>
      </c>
      <c r="C17" s="8" t="s">
        <v>514</v>
      </c>
      <c r="D17" s="8" t="s">
        <v>708</v>
      </c>
    </row>
    <row r="18" spans="1:6">
      <c r="A18" s="37" t="s">
        <v>709</v>
      </c>
      <c r="B18" s="9" t="s">
        <v>68</v>
      </c>
      <c r="C18" s="59">
        <v>1.5</v>
      </c>
      <c r="D18" s="60">
        <v>100</v>
      </c>
    </row>
    <row r="19" spans="1:6">
      <c r="A19" s="37" t="s">
        <v>710</v>
      </c>
      <c r="B19" s="9" t="s">
        <v>67</v>
      </c>
      <c r="C19" s="59">
        <v>1.99</v>
      </c>
      <c r="D19" s="60">
        <v>150</v>
      </c>
    </row>
    <row r="20" spans="1:6">
      <c r="A20" s="37" t="s">
        <v>711</v>
      </c>
      <c r="B20" s="9" t="s">
        <v>67</v>
      </c>
      <c r="C20" s="59">
        <v>2.0499999999999998</v>
      </c>
      <c r="D20" s="60">
        <v>200</v>
      </c>
    </row>
    <row r="21" spans="1:6" ht="15.75" customHeight="1">
      <c r="A21" s="37" t="s">
        <v>712</v>
      </c>
      <c r="B21" s="9" t="s">
        <v>68</v>
      </c>
      <c r="C21" s="59">
        <v>3.5</v>
      </c>
      <c r="D21" s="60">
        <v>50</v>
      </c>
    </row>
    <row r="22" spans="1:6" ht="15.75" customHeight="1">
      <c r="A22" s="37" t="s">
        <v>713</v>
      </c>
      <c r="B22" s="9" t="s">
        <v>67</v>
      </c>
      <c r="C22" s="59">
        <v>4.9000000000000004</v>
      </c>
      <c r="D22" s="60">
        <v>400</v>
      </c>
    </row>
    <row r="23" spans="1:6" ht="15.75" customHeight="1">
      <c r="A23" s="37" t="s">
        <v>714</v>
      </c>
      <c r="B23" s="9" t="s">
        <v>68</v>
      </c>
      <c r="C23" s="59">
        <v>5</v>
      </c>
      <c r="D23" s="60">
        <v>1000</v>
      </c>
    </row>
    <row r="24" spans="1:6" ht="15.75" customHeight="1">
      <c r="A24" s="6"/>
      <c r="B24" s="30"/>
      <c r="C24" s="30"/>
    </row>
    <row r="25" spans="1:6" ht="15.75" customHeight="1">
      <c r="A25" s="6"/>
      <c r="B25" s="30"/>
      <c r="C25" s="8" t="s">
        <v>642</v>
      </c>
      <c r="D25" s="165" t="s">
        <v>16</v>
      </c>
      <c r="E25" s="144"/>
      <c r="F25" s="145"/>
    </row>
    <row r="26" spans="1:6" ht="15.75" customHeight="1">
      <c r="A26" s="177" t="s">
        <v>715</v>
      </c>
      <c r="B26" s="145"/>
      <c r="C26" s="58">
        <f>SUMPRODUCT(C18:C23,D18:D23)</f>
        <v>7993.5</v>
      </c>
      <c r="D26" s="163" t="s">
        <v>716</v>
      </c>
      <c r="E26" s="144"/>
      <c r="F26" s="145"/>
    </row>
    <row r="27" spans="1:6" ht="15.75" customHeight="1">
      <c r="A27" s="6"/>
      <c r="B27" s="30"/>
      <c r="C27" s="30"/>
    </row>
    <row r="28" spans="1:6" ht="15.75" customHeight="1"/>
    <row r="29" spans="1:6" ht="15.75" customHeight="1">
      <c r="A29" s="6" t="s">
        <v>52</v>
      </c>
    </row>
    <row r="30" spans="1:6" ht="15.75" customHeight="1">
      <c r="A30" s="34" t="s">
        <v>717</v>
      </c>
    </row>
    <row r="31" spans="1:6" ht="15.75" customHeight="1">
      <c r="A31" s="8" t="s">
        <v>706</v>
      </c>
      <c r="B31" s="8" t="s">
        <v>707</v>
      </c>
      <c r="C31" s="8" t="s">
        <v>715</v>
      </c>
    </row>
    <row r="32" spans="1:6" ht="15.75" customHeight="1">
      <c r="A32" s="37" t="s">
        <v>709</v>
      </c>
      <c r="B32" s="9" t="s">
        <v>68</v>
      </c>
      <c r="C32" s="61">
        <v>150</v>
      </c>
    </row>
    <row r="33" spans="1:6" ht="15.75" customHeight="1">
      <c r="A33" s="37" t="s">
        <v>710</v>
      </c>
      <c r="B33" s="9" t="s">
        <v>67</v>
      </c>
      <c r="C33" s="61">
        <v>298.5</v>
      </c>
    </row>
    <row r="34" spans="1:6" ht="15.75" customHeight="1">
      <c r="A34" s="37" t="s">
        <v>711</v>
      </c>
      <c r="B34" s="9" t="s">
        <v>67</v>
      </c>
      <c r="C34" s="61">
        <v>409.99999999999994</v>
      </c>
    </row>
    <row r="35" spans="1:6" ht="15.75" customHeight="1">
      <c r="A35" s="37" t="s">
        <v>712</v>
      </c>
      <c r="B35" s="9" t="s">
        <v>68</v>
      </c>
      <c r="C35" s="61">
        <v>175</v>
      </c>
    </row>
    <row r="36" spans="1:6" ht="15.75" customHeight="1">
      <c r="A36" s="37" t="s">
        <v>713</v>
      </c>
      <c r="B36" s="9" t="s">
        <v>67</v>
      </c>
      <c r="C36" s="61">
        <v>1960.0000000000002</v>
      </c>
    </row>
    <row r="37" spans="1:6" ht="15.75" customHeight="1">
      <c r="A37" s="37" t="s">
        <v>714</v>
      </c>
      <c r="B37" s="9" t="s">
        <v>68</v>
      </c>
      <c r="C37" s="61">
        <v>5000</v>
      </c>
    </row>
    <row r="38" spans="1:6" ht="15.75" customHeight="1">
      <c r="A38" s="6"/>
      <c r="B38" s="30"/>
      <c r="C38" s="30"/>
    </row>
    <row r="39" spans="1:6" ht="15.75" customHeight="1">
      <c r="A39" s="6"/>
      <c r="B39" s="30"/>
      <c r="C39" s="8" t="s">
        <v>642</v>
      </c>
      <c r="D39" s="165" t="s">
        <v>16</v>
      </c>
      <c r="E39" s="144"/>
      <c r="F39" s="145"/>
    </row>
    <row r="40" spans="1:6" ht="15.75" customHeight="1">
      <c r="A40" s="177" t="s">
        <v>718</v>
      </c>
      <c r="B40" s="145"/>
      <c r="C40" s="62">
        <f>SUMPRODUCT(--(B32:B37="YES"))</f>
        <v>3</v>
      </c>
      <c r="D40" s="163" t="s">
        <v>719</v>
      </c>
      <c r="E40" s="144"/>
      <c r="F40" s="145"/>
    </row>
    <row r="41" spans="1:6" ht="15.75" customHeight="1">
      <c r="A41" s="177" t="s">
        <v>720</v>
      </c>
      <c r="B41" s="145"/>
      <c r="C41" s="58">
        <f>SUMPRODUCT(--(B32:B37="YES"),C32:C37)</f>
        <v>2668.5</v>
      </c>
      <c r="D41" s="163" t="s">
        <v>721</v>
      </c>
      <c r="E41" s="144"/>
      <c r="F41" s="145"/>
    </row>
    <row r="42" spans="1:6" ht="15.75" customHeight="1"/>
    <row r="43" spans="1:6" ht="15.75" customHeight="1"/>
    <row r="44" spans="1:6" ht="15.75" customHeight="1">
      <c r="A44" s="6" t="s">
        <v>289</v>
      </c>
    </row>
    <row r="45" spans="1:6" ht="15.75" customHeight="1">
      <c r="A45" s="34" t="s">
        <v>705</v>
      </c>
    </row>
    <row r="46" spans="1:6" ht="15.75" customHeight="1">
      <c r="A46" s="8" t="s">
        <v>706</v>
      </c>
      <c r="B46" s="8" t="s">
        <v>707</v>
      </c>
      <c r="C46" s="8" t="s">
        <v>64</v>
      </c>
      <c r="D46" s="8" t="s">
        <v>708</v>
      </c>
    </row>
    <row r="47" spans="1:6" ht="15.75" customHeight="1">
      <c r="A47" s="37" t="s">
        <v>709</v>
      </c>
      <c r="B47" s="9" t="s">
        <v>68</v>
      </c>
      <c r="C47" s="59">
        <v>3.1</v>
      </c>
      <c r="D47" s="60">
        <v>500</v>
      </c>
    </row>
    <row r="48" spans="1:6" ht="15.75" customHeight="1">
      <c r="A48" s="37" t="s">
        <v>710</v>
      </c>
      <c r="B48" s="9" t="s">
        <v>67</v>
      </c>
      <c r="C48" s="59">
        <v>2.5</v>
      </c>
      <c r="D48" s="60">
        <v>150</v>
      </c>
    </row>
    <row r="49" spans="1:7" ht="15.75" customHeight="1">
      <c r="A49" s="37" t="s">
        <v>711</v>
      </c>
      <c r="B49" s="9" t="s">
        <v>67</v>
      </c>
      <c r="C49" s="59">
        <v>10</v>
      </c>
      <c r="D49" s="60">
        <v>100</v>
      </c>
    </row>
    <row r="50" spans="1:7" ht="15.75" customHeight="1">
      <c r="A50" s="37" t="s">
        <v>712</v>
      </c>
      <c r="B50" s="9" t="s">
        <v>68</v>
      </c>
      <c r="C50" s="59">
        <v>1</v>
      </c>
      <c r="D50" s="60">
        <v>500</v>
      </c>
    </row>
    <row r="51" spans="1:7" ht="15.75" customHeight="1">
      <c r="A51" s="37" t="s">
        <v>713</v>
      </c>
      <c r="B51" s="9" t="s">
        <v>67</v>
      </c>
      <c r="C51" s="59">
        <v>4</v>
      </c>
      <c r="D51" s="60">
        <v>200</v>
      </c>
    </row>
    <row r="52" spans="1:7" ht="15.75" customHeight="1">
      <c r="A52" s="37" t="s">
        <v>714</v>
      </c>
      <c r="B52" s="9" t="s">
        <v>68</v>
      </c>
      <c r="C52" s="59">
        <v>2</v>
      </c>
      <c r="D52" s="60">
        <v>2000</v>
      </c>
    </row>
    <row r="53" spans="1:7" ht="15.75" customHeight="1">
      <c r="A53" s="6"/>
      <c r="B53" s="30"/>
      <c r="C53" s="30"/>
    </row>
    <row r="54" spans="1:7" ht="15.75" customHeight="1">
      <c r="A54" s="6"/>
      <c r="B54" s="30"/>
      <c r="C54" s="8" t="s">
        <v>642</v>
      </c>
      <c r="D54" s="165" t="s">
        <v>16</v>
      </c>
      <c r="E54" s="144"/>
      <c r="F54" s="145"/>
    </row>
    <row r="55" spans="1:7" ht="15.75" customHeight="1">
      <c r="A55" s="177" t="s">
        <v>722</v>
      </c>
      <c r="B55" s="145"/>
      <c r="C55" s="58">
        <v>8225</v>
      </c>
      <c r="D55" s="163">
        <f>SUMPRODUCT(C47:C52, D47:D52)</f>
        <v>8225</v>
      </c>
      <c r="E55" s="144"/>
      <c r="F55" s="145"/>
      <c r="G55" s="4" t="e">
        <f ca="1">_xludf.FORMULATEXT(D55)</f>
        <v>#NAME?</v>
      </c>
    </row>
    <row r="56" spans="1:7" ht="15.75" customHeight="1">
      <c r="A56" s="6"/>
      <c r="B56" s="30"/>
      <c r="C56" s="30"/>
    </row>
    <row r="57" spans="1:7" ht="15.75" customHeight="1"/>
    <row r="58" spans="1:7" ht="15.75" customHeight="1">
      <c r="A58" s="6" t="s">
        <v>292</v>
      </c>
    </row>
    <row r="59" spans="1:7" ht="15.75" customHeight="1">
      <c r="A59" s="34" t="s">
        <v>723</v>
      </c>
    </row>
    <row r="60" spans="1:7" ht="15.75" customHeight="1">
      <c r="A60" s="8" t="s">
        <v>706</v>
      </c>
      <c r="B60" s="8" t="s">
        <v>707</v>
      </c>
      <c r="C60" s="8" t="s">
        <v>715</v>
      </c>
    </row>
    <row r="61" spans="1:7" ht="15.75" customHeight="1">
      <c r="A61" s="37" t="s">
        <v>709</v>
      </c>
      <c r="B61" s="9" t="s">
        <v>68</v>
      </c>
      <c r="C61" s="61">
        <v>150</v>
      </c>
    </row>
    <row r="62" spans="1:7" ht="15.75" customHeight="1">
      <c r="A62" s="37" t="s">
        <v>710</v>
      </c>
      <c r="B62" s="9" t="s">
        <v>67</v>
      </c>
      <c r="C62" s="61">
        <v>298.5</v>
      </c>
    </row>
    <row r="63" spans="1:7" ht="15.75" customHeight="1">
      <c r="A63" s="37" t="s">
        <v>711</v>
      </c>
      <c r="B63" s="9" t="s">
        <v>67</v>
      </c>
      <c r="C63" s="61">
        <v>409.99999999999994</v>
      </c>
    </row>
    <row r="64" spans="1:7" ht="15.75" customHeight="1">
      <c r="A64" s="37" t="s">
        <v>712</v>
      </c>
      <c r="B64" s="9" t="s">
        <v>68</v>
      </c>
      <c r="C64" s="61">
        <v>175</v>
      </c>
    </row>
    <row r="65" spans="1:3" ht="15.75" customHeight="1">
      <c r="A65" s="37" t="s">
        <v>713</v>
      </c>
      <c r="B65" s="9" t="s">
        <v>67</v>
      </c>
      <c r="C65" s="61">
        <v>1960.0000000000002</v>
      </c>
    </row>
    <row r="66" spans="1:3" ht="15.75" customHeight="1">
      <c r="A66" s="37" t="s">
        <v>714</v>
      </c>
      <c r="B66" s="9" t="s">
        <v>68</v>
      </c>
      <c r="C66" s="61">
        <v>5000</v>
      </c>
    </row>
    <row r="67" spans="1:3" ht="15.75" customHeight="1">
      <c r="A67" s="6"/>
      <c r="B67" s="30"/>
      <c r="C67" s="30"/>
    </row>
    <row r="68" spans="1:3" ht="15.75" customHeight="1">
      <c r="A68" s="6"/>
      <c r="B68" s="30"/>
      <c r="C68" s="8" t="s">
        <v>642</v>
      </c>
    </row>
    <row r="69" spans="1:3" ht="15.75" customHeight="1">
      <c r="A69" s="177" t="s">
        <v>718</v>
      </c>
      <c r="B69" s="145"/>
      <c r="C69" s="62">
        <f>SUMPRODUCT(--(B61:B66="NO"))</f>
        <v>3</v>
      </c>
    </row>
    <row r="70" spans="1:3" ht="15.75" customHeight="1">
      <c r="A70" s="173" t="s">
        <v>724</v>
      </c>
      <c r="B70" s="145"/>
      <c r="C70" s="58">
        <f>SUMPRODUCT((B61:B66="NO") * (C61:C66))</f>
        <v>5325</v>
      </c>
    </row>
    <row r="71" spans="1:3" ht="15.75" customHeight="1"/>
    <row r="72" spans="1:3" ht="15.75" customHeight="1"/>
    <row r="73" spans="1:3" ht="15.75" customHeight="1"/>
    <row r="74" spans="1:3" ht="15.75" customHeight="1"/>
    <row r="75" spans="1:3" ht="15.75" customHeight="1"/>
    <row r="76" spans="1:3" ht="15.75" customHeight="1"/>
    <row r="77" spans="1:3" ht="15.75" customHeight="1"/>
    <row r="78" spans="1:3" ht="15.75" customHeight="1"/>
    <row r="79" spans="1:3" ht="15.75" customHeight="1"/>
    <row r="80" spans="1:3"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69:B69"/>
    <mergeCell ref="A70:B70"/>
    <mergeCell ref="A1:C1"/>
    <mergeCell ref="A4:I4"/>
    <mergeCell ref="D25:F25"/>
    <mergeCell ref="A26:B26"/>
    <mergeCell ref="D26:F26"/>
    <mergeCell ref="D39:F39"/>
    <mergeCell ref="D40:F40"/>
    <mergeCell ref="A40:B40"/>
    <mergeCell ref="A41:B41"/>
    <mergeCell ref="D41:F41"/>
    <mergeCell ref="D54:F54"/>
    <mergeCell ref="A55:B55"/>
    <mergeCell ref="D55:F55"/>
  </mergeCells>
  <pageMargins left="0.7" right="0.7" top="0.75" bottom="0.75" header="0" footer="0"/>
  <pageSetup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725</v>
      </c>
      <c r="B1" s="149"/>
      <c r="C1" s="31"/>
      <c r="D1" s="2"/>
      <c r="E1" s="2"/>
      <c r="F1" s="2"/>
      <c r="G1" s="2"/>
      <c r="H1" s="2"/>
      <c r="I1" s="2"/>
      <c r="J1" s="2"/>
      <c r="K1" s="2"/>
    </row>
    <row r="3" spans="1:11" ht="18.75">
      <c r="A3" s="3" t="s">
        <v>1</v>
      </c>
    </row>
    <row r="4" spans="1:11" ht="15" customHeight="1">
      <c r="A4" s="162" t="s">
        <v>726</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727</v>
      </c>
    </row>
    <row r="9" spans="1:11" ht="15.75">
      <c r="A9" s="6" t="s">
        <v>728</v>
      </c>
    </row>
    <row r="10" spans="1:11">
      <c r="A10" s="4" t="s">
        <v>729</v>
      </c>
    </row>
    <row r="11" spans="1:11">
      <c r="A11" s="42"/>
    </row>
    <row r="12" spans="1:11" ht="15.75">
      <c r="A12" s="6" t="s">
        <v>11</v>
      </c>
    </row>
    <row r="13" spans="1:11">
      <c r="A13" s="34" t="s">
        <v>730</v>
      </c>
    </row>
    <row r="14" spans="1:11">
      <c r="A14" s="8" t="s">
        <v>731</v>
      </c>
      <c r="B14" s="8" t="s">
        <v>16</v>
      </c>
    </row>
    <row r="15" spans="1:11">
      <c r="A15" s="9">
        <f t="shared" ref="A15:A20" ca="1" si="0">RAND()</f>
        <v>0.17101739666578841</v>
      </c>
      <c r="B15" s="60" t="s">
        <v>727</v>
      </c>
      <c r="C15" s="4">
        <f t="shared" ref="C15:C20" ca="1" si="1">RAND()</f>
        <v>0.22041969041891007</v>
      </c>
    </row>
    <row r="16" spans="1:11">
      <c r="A16" s="9">
        <f t="shared" ca="1" si="0"/>
        <v>5.4534102539732787E-3</v>
      </c>
      <c r="B16" s="60" t="s">
        <v>727</v>
      </c>
      <c r="C16" s="4">
        <f t="shared" ca="1" si="1"/>
        <v>0.91691749112209853</v>
      </c>
    </row>
    <row r="17" spans="1:3">
      <c r="A17" s="9">
        <f t="shared" ca="1" si="0"/>
        <v>0.24743903612176732</v>
      </c>
      <c r="B17" s="60" t="s">
        <v>727</v>
      </c>
      <c r="C17" s="4">
        <f t="shared" ca="1" si="1"/>
        <v>0.16508748020728126</v>
      </c>
    </row>
    <row r="18" spans="1:3">
      <c r="A18" s="9">
        <f t="shared" ca="1" si="0"/>
        <v>0.43991853717026186</v>
      </c>
      <c r="B18" s="60" t="s">
        <v>727</v>
      </c>
      <c r="C18" s="4">
        <f t="shared" ca="1" si="1"/>
        <v>0.17630479499449225</v>
      </c>
    </row>
    <row r="19" spans="1:3">
      <c r="A19" s="9">
        <f t="shared" ca="1" si="0"/>
        <v>0.29899681060327787</v>
      </c>
      <c r="B19" s="60" t="s">
        <v>727</v>
      </c>
      <c r="C19" s="4">
        <f t="shared" ca="1" si="1"/>
        <v>0.69662000294570769</v>
      </c>
    </row>
    <row r="20" spans="1:3">
      <c r="A20" s="9">
        <f t="shared" ca="1" si="0"/>
        <v>0.56750150611634909</v>
      </c>
      <c r="B20" s="60" t="s">
        <v>727</v>
      </c>
      <c r="C20" s="4">
        <f t="shared" ca="1" si="1"/>
        <v>0.97856041578784148</v>
      </c>
    </row>
    <row r="21" spans="1:3" ht="15.75" customHeight="1">
      <c r="A21" s="6"/>
      <c r="B21" s="30"/>
      <c r="C21" s="30"/>
    </row>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ageMargins left="0.7" right="0.7" top="0.75" bottom="0.75" header="0" footer="0"/>
  <pageSetup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732</v>
      </c>
      <c r="B1" s="149"/>
      <c r="C1" s="149"/>
      <c r="D1" s="2"/>
      <c r="E1" s="2"/>
      <c r="F1" s="2"/>
      <c r="G1" s="2"/>
      <c r="H1" s="2"/>
      <c r="I1" s="2"/>
      <c r="J1" s="2"/>
      <c r="K1" s="2"/>
    </row>
    <row r="3" spans="1:11" ht="18.75">
      <c r="A3" s="3" t="s">
        <v>1</v>
      </c>
    </row>
    <row r="4" spans="1:11" ht="15" customHeight="1">
      <c r="A4" s="162" t="s">
        <v>733</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734</v>
      </c>
    </row>
    <row r="9" spans="1:11" ht="15.75">
      <c r="A9" s="6" t="s">
        <v>735</v>
      </c>
    </row>
    <row r="10" spans="1:11">
      <c r="A10" s="4" t="s">
        <v>736</v>
      </c>
    </row>
    <row r="11" spans="1:11">
      <c r="A11" s="42"/>
    </row>
    <row r="12" spans="1:11" ht="15.75">
      <c r="A12" s="6" t="s">
        <v>737</v>
      </c>
    </row>
    <row r="13" spans="1:11">
      <c r="A13" s="4" t="s">
        <v>738</v>
      </c>
    </row>
    <row r="14" spans="1:11">
      <c r="A14" s="42"/>
    </row>
    <row r="15" spans="1:11" ht="15.75">
      <c r="A15" s="6" t="s">
        <v>11</v>
      </c>
    </row>
    <row r="16" spans="1:11">
      <c r="A16" s="34" t="s">
        <v>730</v>
      </c>
    </row>
    <row r="17" spans="1:4">
      <c r="A17" s="8" t="s">
        <v>731</v>
      </c>
      <c r="B17" s="143" t="s">
        <v>16</v>
      </c>
      <c r="C17" s="145"/>
    </row>
    <row r="18" spans="1:4">
      <c r="A18" s="9">
        <f t="shared" ref="A18:A20" ca="1" si="0">RANDBETWEEN(0,100000)</f>
        <v>86900</v>
      </c>
      <c r="B18" s="146" t="s">
        <v>739</v>
      </c>
      <c r="C18" s="145"/>
      <c r="D18" s="4">
        <f t="shared" ref="D18:D20" ca="1" si="1">RANDBETWEEN(0,100000)</f>
        <v>45415</v>
      </c>
    </row>
    <row r="19" spans="1:4">
      <c r="A19" s="9">
        <f t="shared" ca="1" si="0"/>
        <v>9320</v>
      </c>
      <c r="B19" s="146" t="s">
        <v>739</v>
      </c>
      <c r="C19" s="145"/>
      <c r="D19" s="4">
        <f t="shared" ca="1" si="1"/>
        <v>55336</v>
      </c>
    </row>
    <row r="20" spans="1:4">
      <c r="A20" s="9">
        <f t="shared" ca="1" si="0"/>
        <v>36326</v>
      </c>
      <c r="B20" s="146" t="s">
        <v>739</v>
      </c>
      <c r="C20" s="145"/>
      <c r="D20" s="4">
        <f t="shared" ca="1" si="1"/>
        <v>7670</v>
      </c>
    </row>
    <row r="21" spans="1:4" ht="15.75" customHeight="1">
      <c r="A21" s="9">
        <f t="shared" ref="A21:A23" ca="1" si="2">RANDBETWEEN(0,5000)</f>
        <v>3555</v>
      </c>
      <c r="B21" s="146" t="s">
        <v>740</v>
      </c>
      <c r="C21" s="145"/>
      <c r="D21" s="4">
        <f t="shared" ref="D21:D23" ca="1" si="3">RANDBETWEEN(0,5000)</f>
        <v>2701</v>
      </c>
    </row>
    <row r="22" spans="1:4" ht="15.75" customHeight="1">
      <c r="A22" s="9">
        <f t="shared" ca="1" si="2"/>
        <v>4607</v>
      </c>
      <c r="B22" s="146" t="s">
        <v>740</v>
      </c>
      <c r="C22" s="145"/>
      <c r="D22" s="4">
        <f t="shared" ca="1" si="3"/>
        <v>4001</v>
      </c>
    </row>
    <row r="23" spans="1:4" ht="15.75" customHeight="1">
      <c r="A23" s="9">
        <f t="shared" ca="1" si="2"/>
        <v>2950</v>
      </c>
      <c r="B23" s="146" t="s">
        <v>740</v>
      </c>
      <c r="C23" s="145"/>
      <c r="D23" s="4">
        <f t="shared" ca="1" si="3"/>
        <v>2995</v>
      </c>
    </row>
    <row r="24" spans="1:4" ht="15.75" customHeight="1">
      <c r="A24" s="6"/>
      <c r="B24" s="30"/>
      <c r="C24" s="30"/>
    </row>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22:C22"/>
    <mergeCell ref="B23:C23"/>
    <mergeCell ref="A1:C1"/>
    <mergeCell ref="A4:I4"/>
    <mergeCell ref="B17:C17"/>
    <mergeCell ref="B18:C18"/>
    <mergeCell ref="B19:C19"/>
    <mergeCell ref="B20:C20"/>
    <mergeCell ref="B21:C21"/>
  </mergeCells>
  <pageMargins left="0.7" right="0.7" top="0.75" bottom="0.75" header="0" footer="0"/>
  <pageSetup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741</v>
      </c>
      <c r="B1" s="149"/>
      <c r="C1" s="31"/>
      <c r="D1" s="2"/>
      <c r="E1" s="2"/>
      <c r="F1" s="2"/>
      <c r="G1" s="2"/>
      <c r="H1" s="2"/>
      <c r="I1" s="2"/>
      <c r="J1" s="2"/>
      <c r="K1" s="2"/>
    </row>
    <row r="3" spans="1:11" ht="18.75">
      <c r="A3" s="3" t="s">
        <v>1</v>
      </c>
    </row>
    <row r="4" spans="1:11" ht="15" customHeight="1">
      <c r="A4" s="162" t="s">
        <v>742</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743</v>
      </c>
    </row>
    <row r="9" spans="1:11" ht="15.75">
      <c r="A9" s="6" t="s">
        <v>744</v>
      </c>
    </row>
    <row r="10" spans="1:11">
      <c r="A10" s="4" t="s">
        <v>745</v>
      </c>
    </row>
    <row r="11" spans="1:11">
      <c r="A11" s="42"/>
    </row>
    <row r="12" spans="1:11" ht="15.75">
      <c r="A12" s="6" t="s">
        <v>746</v>
      </c>
    </row>
    <row r="13" spans="1:11">
      <c r="A13" s="4" t="s">
        <v>747</v>
      </c>
    </row>
    <row r="14" spans="1:11">
      <c r="A14" s="42"/>
    </row>
    <row r="15" spans="1:11" ht="15.75">
      <c r="A15" s="6" t="s">
        <v>11</v>
      </c>
    </row>
    <row r="16" spans="1:11">
      <c r="A16" s="34" t="s">
        <v>748</v>
      </c>
    </row>
    <row r="17" spans="1:5">
      <c r="A17" s="8" t="s">
        <v>749</v>
      </c>
      <c r="B17" s="8" t="s">
        <v>750</v>
      </c>
      <c r="C17" s="143" t="s">
        <v>16</v>
      </c>
      <c r="D17" s="145"/>
    </row>
    <row r="18" spans="1:5">
      <c r="A18" s="63">
        <v>45.397610567982859</v>
      </c>
      <c r="B18" s="64">
        <f>ROUND(A18,2)</f>
        <v>45.4</v>
      </c>
      <c r="C18" s="146" t="s">
        <v>751</v>
      </c>
      <c r="D18" s="145"/>
    </row>
    <row r="19" spans="1:5">
      <c r="A19" s="63">
        <v>50.654626487009899</v>
      </c>
      <c r="B19" s="64">
        <f>ROUND(A19,1)</f>
        <v>50.7</v>
      </c>
      <c r="C19" s="146" t="s">
        <v>752</v>
      </c>
      <c r="D19" s="145"/>
    </row>
    <row r="20" spans="1:5">
      <c r="A20" s="63">
        <v>85.413909259984749</v>
      </c>
      <c r="B20" s="65">
        <f>ROUND(A20,3)</f>
        <v>85.414000000000001</v>
      </c>
      <c r="C20" s="146" t="s">
        <v>753</v>
      </c>
      <c r="D20" s="145"/>
    </row>
    <row r="21" spans="1:5" ht="15.75" customHeight="1">
      <c r="A21" s="63">
        <v>33.589347121750201</v>
      </c>
      <c r="B21" s="60">
        <f>ROUND(A21,0)</f>
        <v>34</v>
      </c>
      <c r="C21" s="146" t="s">
        <v>754</v>
      </c>
      <c r="D21" s="145"/>
    </row>
    <row r="22" spans="1:5" ht="15.75" customHeight="1">
      <c r="A22" s="6"/>
      <c r="B22" s="30"/>
      <c r="C22" s="30"/>
    </row>
    <row r="23" spans="1:5" ht="15.75" customHeight="1">
      <c r="A23" s="6" t="s">
        <v>27</v>
      </c>
    </row>
    <row r="24" spans="1:5" ht="15.75" customHeight="1">
      <c r="A24" s="34" t="s">
        <v>748</v>
      </c>
    </row>
    <row r="25" spans="1:5" ht="15.75" customHeight="1">
      <c r="A25" s="8" t="s">
        <v>706</v>
      </c>
      <c r="B25" s="8" t="s">
        <v>49</v>
      </c>
      <c r="C25" s="143" t="s">
        <v>16</v>
      </c>
      <c r="D25" s="145"/>
    </row>
    <row r="26" spans="1:5" ht="15.75" customHeight="1">
      <c r="A26" s="65">
        <v>81.373000000000005</v>
      </c>
      <c r="B26" s="64">
        <v>81.37</v>
      </c>
      <c r="C26" s="178">
        <f t="shared" ref="C26:C29" si="0">ROUND(A26,2)</f>
        <v>81.37</v>
      </c>
      <c r="D26" s="145"/>
      <c r="E26" s="4" t="e">
        <f t="shared" ref="E26:E29" ca="1" si="1">_xludf.FORMULATEXT(C26)</f>
        <v>#NAME?</v>
      </c>
    </row>
    <row r="27" spans="1:5" ht="15.75" customHeight="1">
      <c r="A27" s="66">
        <v>7.9596999999999998</v>
      </c>
      <c r="B27" s="64">
        <v>8</v>
      </c>
      <c r="C27" s="179">
        <f t="shared" si="0"/>
        <v>7.96</v>
      </c>
      <c r="D27" s="145"/>
      <c r="E27" s="4" t="e">
        <f t="shared" ca="1" si="1"/>
        <v>#NAME?</v>
      </c>
    </row>
    <row r="28" spans="1:5" ht="15.75" customHeight="1">
      <c r="A28" s="66">
        <v>521.25779999999997</v>
      </c>
      <c r="B28" s="64">
        <v>521.25800000000004</v>
      </c>
      <c r="C28" s="179">
        <f t="shared" si="0"/>
        <v>521.26</v>
      </c>
      <c r="D28" s="145"/>
      <c r="E28" s="4" t="e">
        <f t="shared" ca="1" si="1"/>
        <v>#NAME?</v>
      </c>
    </row>
    <row r="29" spans="1:5" ht="15.75" customHeight="1">
      <c r="A29" s="65">
        <v>4.6985000000000001</v>
      </c>
      <c r="B29" s="64">
        <v>4.7</v>
      </c>
      <c r="C29" s="178">
        <f t="shared" si="0"/>
        <v>4.7</v>
      </c>
      <c r="D29" s="145"/>
      <c r="E29" s="4" t="e">
        <f t="shared" ca="1" si="1"/>
        <v>#NAME?</v>
      </c>
    </row>
    <row r="30" spans="1:5" ht="15.75" customHeight="1">
      <c r="A30" s="6"/>
      <c r="B30" s="30"/>
      <c r="C30" s="30"/>
    </row>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20:D20"/>
    <mergeCell ref="C21:D21"/>
    <mergeCell ref="A1:B1"/>
    <mergeCell ref="A4:I4"/>
    <mergeCell ref="C17:D17"/>
    <mergeCell ref="C18:D18"/>
    <mergeCell ref="C19:D19"/>
    <mergeCell ref="C25:D25"/>
    <mergeCell ref="C26:D26"/>
    <mergeCell ref="C27:D27"/>
    <mergeCell ref="C28:D28"/>
    <mergeCell ref="C29:D29"/>
  </mergeCells>
  <pageMargins left="0.7" right="0.7" top="0.75" bottom="0.75" header="0" footer="0"/>
  <pageSetup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755</v>
      </c>
      <c r="B1" s="149"/>
      <c r="C1" s="31"/>
      <c r="D1" s="2"/>
      <c r="E1" s="2"/>
      <c r="F1" s="2"/>
      <c r="G1" s="2"/>
      <c r="H1" s="2"/>
      <c r="I1" s="2"/>
      <c r="J1" s="2"/>
      <c r="K1" s="2"/>
    </row>
    <row r="3" spans="1:11" ht="18.75">
      <c r="A3" s="3" t="s">
        <v>1</v>
      </c>
    </row>
    <row r="4" spans="1:11" ht="15" customHeight="1">
      <c r="A4" s="162" t="s">
        <v>756</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757</v>
      </c>
    </row>
    <row r="9" spans="1:11" ht="15.75">
      <c r="A9" s="6" t="s">
        <v>222</v>
      </c>
    </row>
    <row r="10" spans="1:11">
      <c r="A10" s="4" t="s">
        <v>758</v>
      </c>
    </row>
    <row r="11" spans="1:11">
      <c r="A11" s="42"/>
    </row>
    <row r="12" spans="1:11" ht="15.75">
      <c r="A12" s="6" t="s">
        <v>11</v>
      </c>
    </row>
    <row r="13" spans="1:11">
      <c r="A13" s="34" t="s">
        <v>759</v>
      </c>
    </row>
    <row r="14" spans="1:11">
      <c r="A14" s="8" t="s">
        <v>749</v>
      </c>
      <c r="B14" s="8" t="s">
        <v>750</v>
      </c>
      <c r="C14" s="143" t="s">
        <v>16</v>
      </c>
      <c r="D14" s="145"/>
    </row>
    <row r="15" spans="1:11">
      <c r="A15" s="63">
        <v>45.397610567982859</v>
      </c>
      <c r="B15" s="60">
        <f t="shared" ref="B15:B18" si="0">EVEN(A15)</f>
        <v>46</v>
      </c>
      <c r="C15" s="146" t="s">
        <v>760</v>
      </c>
      <c r="D15" s="145"/>
    </row>
    <row r="16" spans="1:11">
      <c r="A16" s="63">
        <v>-50.654626487009899</v>
      </c>
      <c r="B16" s="60">
        <f t="shared" si="0"/>
        <v>-52</v>
      </c>
      <c r="C16" s="146" t="s">
        <v>761</v>
      </c>
      <c r="D16" s="145"/>
    </row>
    <row r="17" spans="1:4">
      <c r="A17" s="63">
        <v>85.413909259984749</v>
      </c>
      <c r="B17" s="60">
        <f t="shared" si="0"/>
        <v>86</v>
      </c>
      <c r="C17" s="146" t="s">
        <v>762</v>
      </c>
      <c r="D17" s="145"/>
    </row>
    <row r="18" spans="1:4">
      <c r="A18" s="63">
        <v>31.589347121750201</v>
      </c>
      <c r="B18" s="60">
        <f t="shared" si="0"/>
        <v>32</v>
      </c>
      <c r="C18" s="146" t="s">
        <v>763</v>
      </c>
      <c r="D18" s="145"/>
    </row>
    <row r="19" spans="1:4" ht="15.75">
      <c r="A19" s="6"/>
      <c r="B19" s="30"/>
      <c r="C19" s="30"/>
    </row>
    <row r="20" spans="1:4" ht="15.75">
      <c r="A20" s="6" t="s">
        <v>27</v>
      </c>
    </row>
    <row r="21" spans="1:4" ht="15.75" customHeight="1">
      <c r="A21" s="34" t="s">
        <v>764</v>
      </c>
    </row>
    <row r="22" spans="1:4" ht="15.75" customHeight="1">
      <c r="A22" s="8" t="s">
        <v>706</v>
      </c>
      <c r="B22" s="8" t="s">
        <v>49</v>
      </c>
    </row>
    <row r="23" spans="1:4" ht="15.75" customHeight="1">
      <c r="A23" s="9">
        <v>1111.1110000000001</v>
      </c>
      <c r="B23" s="64">
        <f t="shared" ref="B23:B26" si="1">EVEN(A23)</f>
        <v>1112</v>
      </c>
    </row>
    <row r="24" spans="1:4" ht="15.75" customHeight="1">
      <c r="A24" s="9">
        <v>95.3</v>
      </c>
      <c r="B24" s="64">
        <f t="shared" si="1"/>
        <v>96</v>
      </c>
    </row>
    <row r="25" spans="1:4" ht="15.75" customHeight="1">
      <c r="A25" s="9">
        <v>51.5</v>
      </c>
      <c r="B25" s="64">
        <f t="shared" si="1"/>
        <v>52</v>
      </c>
    </row>
    <row r="26" spans="1:4" ht="15.75" customHeight="1">
      <c r="A26" s="65">
        <v>-4.6985000000000001</v>
      </c>
      <c r="B26" s="64">
        <f t="shared" si="1"/>
        <v>-6</v>
      </c>
    </row>
    <row r="27" spans="1:4" ht="15.75" customHeight="1">
      <c r="A27" s="6"/>
      <c r="B27" s="30"/>
      <c r="C27" s="30"/>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7:D17"/>
    <mergeCell ref="C18:D18"/>
    <mergeCell ref="A1:B1"/>
    <mergeCell ref="A4:I4"/>
    <mergeCell ref="C14:D14"/>
    <mergeCell ref="C15:D15"/>
    <mergeCell ref="C16:D16"/>
  </mergeCells>
  <pageMargins left="0.7" right="0.7" top="0.75" bottom="0.75" header="0" footer="0"/>
  <pageSetup orientation="portrait"/>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765</v>
      </c>
      <c r="B1" s="149"/>
      <c r="C1" s="31"/>
      <c r="D1" s="2"/>
      <c r="E1" s="2"/>
      <c r="F1" s="2"/>
      <c r="G1" s="2"/>
      <c r="H1" s="2"/>
      <c r="I1" s="2"/>
      <c r="J1" s="2"/>
      <c r="K1" s="2"/>
    </row>
    <row r="3" spans="1:11" ht="18.75">
      <c r="A3" s="3" t="s">
        <v>1</v>
      </c>
    </row>
    <row r="4" spans="1:11" ht="15" customHeight="1">
      <c r="A4" s="162" t="s">
        <v>766</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767</v>
      </c>
    </row>
    <row r="9" spans="1:11" ht="15.75">
      <c r="A9" s="6" t="s">
        <v>222</v>
      </c>
    </row>
    <row r="10" spans="1:11">
      <c r="A10" s="4" t="s">
        <v>768</v>
      </c>
    </row>
    <row r="11" spans="1:11">
      <c r="A11" s="42"/>
    </row>
    <row r="12" spans="1:11" ht="15.75">
      <c r="A12" s="6" t="s">
        <v>11</v>
      </c>
    </row>
    <row r="13" spans="1:11">
      <c r="A13" s="34" t="s">
        <v>769</v>
      </c>
    </row>
    <row r="14" spans="1:11">
      <c r="A14" s="8" t="s">
        <v>749</v>
      </c>
      <c r="B14" s="8" t="s">
        <v>750</v>
      </c>
      <c r="C14" s="143" t="s">
        <v>16</v>
      </c>
      <c r="D14" s="145"/>
    </row>
    <row r="15" spans="1:11">
      <c r="A15" s="63">
        <v>45.397610567982859</v>
      </c>
      <c r="B15" s="60">
        <f t="shared" ref="B15:B18" si="0">ODD(A15)</f>
        <v>47</v>
      </c>
      <c r="C15" s="146" t="s">
        <v>770</v>
      </c>
      <c r="D15" s="145"/>
    </row>
    <row r="16" spans="1:11">
      <c r="A16" s="63">
        <v>-50.654626487009899</v>
      </c>
      <c r="B16" s="60">
        <f t="shared" si="0"/>
        <v>-51</v>
      </c>
      <c r="C16" s="146" t="s">
        <v>771</v>
      </c>
      <c r="D16" s="145"/>
    </row>
    <row r="17" spans="1:4">
      <c r="A17" s="63">
        <v>85.413909259984749</v>
      </c>
      <c r="B17" s="60">
        <f t="shared" si="0"/>
        <v>87</v>
      </c>
      <c r="C17" s="146" t="s">
        <v>772</v>
      </c>
      <c r="D17" s="145"/>
    </row>
    <row r="18" spans="1:4">
      <c r="A18" s="63">
        <v>33.589347121750201</v>
      </c>
      <c r="B18" s="60">
        <f t="shared" si="0"/>
        <v>35</v>
      </c>
      <c r="C18" s="146" t="s">
        <v>773</v>
      </c>
      <c r="D18" s="145"/>
    </row>
    <row r="19" spans="1:4" ht="15.75">
      <c r="A19" s="6"/>
      <c r="B19" s="30"/>
      <c r="C19" s="30"/>
    </row>
    <row r="20" spans="1:4" ht="15.75">
      <c r="A20" s="6" t="s">
        <v>27</v>
      </c>
    </row>
    <row r="21" spans="1:4" ht="15.75" customHeight="1">
      <c r="A21" s="34" t="s">
        <v>774</v>
      </c>
    </row>
    <row r="22" spans="1:4" ht="15.75" customHeight="1">
      <c r="A22" s="8" t="s">
        <v>706</v>
      </c>
      <c r="B22" s="8" t="s">
        <v>49</v>
      </c>
    </row>
    <row r="23" spans="1:4" ht="15.75" customHeight="1">
      <c r="A23" s="9">
        <v>1111.1110000000001</v>
      </c>
      <c r="B23" s="64">
        <f t="shared" ref="B23:B26" si="1">ODD(A23)</f>
        <v>1113</v>
      </c>
    </row>
    <row r="24" spans="1:4" ht="15.75" customHeight="1">
      <c r="A24" s="9">
        <v>95.3</v>
      </c>
      <c r="B24" s="64">
        <f t="shared" si="1"/>
        <v>97</v>
      </c>
    </row>
    <row r="25" spans="1:4" ht="15.75" customHeight="1">
      <c r="A25" s="9">
        <v>51.5</v>
      </c>
      <c r="B25" s="64">
        <f t="shared" si="1"/>
        <v>53</v>
      </c>
    </row>
    <row r="26" spans="1:4" ht="15.75" customHeight="1">
      <c r="A26" s="65">
        <v>-4.6985000000000001</v>
      </c>
      <c r="B26" s="64">
        <f t="shared" si="1"/>
        <v>-5</v>
      </c>
    </row>
    <row r="27" spans="1:4" ht="15.75" customHeight="1">
      <c r="A27" s="6"/>
      <c r="B27" s="30"/>
      <c r="C27" s="30"/>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7:D17"/>
    <mergeCell ref="C18:D18"/>
    <mergeCell ref="A1:B1"/>
    <mergeCell ref="A4:I4"/>
    <mergeCell ref="C14:D14"/>
    <mergeCell ref="C15:D15"/>
    <mergeCell ref="C16:D16"/>
  </mergeCells>
  <pageMargins left="0.7" right="0.7" top="0.75" bottom="0.75" header="0" footer="0"/>
  <pageSetup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775</v>
      </c>
      <c r="B1" s="149"/>
      <c r="C1" s="31"/>
      <c r="D1" s="2"/>
      <c r="E1" s="2"/>
      <c r="F1" s="2"/>
      <c r="G1" s="2"/>
      <c r="H1" s="2"/>
      <c r="I1" s="2"/>
      <c r="J1" s="2"/>
      <c r="K1" s="2"/>
    </row>
    <row r="3" spans="1:11" ht="18.75">
      <c r="A3" s="3" t="s">
        <v>1</v>
      </c>
    </row>
    <row r="4" spans="1:11" ht="15" customHeight="1">
      <c r="A4" s="162" t="s">
        <v>776</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777</v>
      </c>
    </row>
    <row r="9" spans="1:11" ht="15.75">
      <c r="A9" s="6" t="s">
        <v>744</v>
      </c>
    </row>
    <row r="10" spans="1:11">
      <c r="A10" s="4" t="s">
        <v>778</v>
      </c>
    </row>
    <row r="12" spans="1:11" ht="15.75">
      <c r="A12" s="6" t="s">
        <v>779</v>
      </c>
    </row>
    <row r="13" spans="1:11">
      <c r="A13" s="4" t="s">
        <v>780</v>
      </c>
    </row>
    <row r="15" spans="1:11" ht="15.75">
      <c r="A15" s="6" t="s">
        <v>11</v>
      </c>
    </row>
    <row r="16" spans="1:11">
      <c r="A16" s="34" t="s">
        <v>781</v>
      </c>
    </row>
    <row r="17" spans="1:4">
      <c r="A17" s="8" t="s">
        <v>744</v>
      </c>
      <c r="B17" s="8" t="s">
        <v>779</v>
      </c>
      <c r="C17" s="8" t="s">
        <v>782</v>
      </c>
      <c r="D17" s="8" t="s">
        <v>16</v>
      </c>
    </row>
    <row r="18" spans="1:4">
      <c r="A18" s="9">
        <v>3</v>
      </c>
      <c r="B18" s="9">
        <v>5</v>
      </c>
      <c r="C18" s="9">
        <f t="shared" ref="C18:C21" si="0">MOD(A18,B18)</f>
        <v>3</v>
      </c>
      <c r="D18" s="9" t="s">
        <v>783</v>
      </c>
    </row>
    <row r="19" spans="1:4">
      <c r="A19" s="9">
        <v>19</v>
      </c>
      <c r="B19" s="9">
        <v>3</v>
      </c>
      <c r="C19" s="9">
        <f t="shared" si="0"/>
        <v>1</v>
      </c>
      <c r="D19" s="9" t="s">
        <v>784</v>
      </c>
    </row>
    <row r="20" spans="1:4">
      <c r="A20" s="9">
        <v>8</v>
      </c>
      <c r="B20" s="9">
        <v>2</v>
      </c>
      <c r="C20" s="9">
        <f t="shared" si="0"/>
        <v>0</v>
      </c>
      <c r="D20" s="9" t="s">
        <v>785</v>
      </c>
    </row>
    <row r="21" spans="1:4" ht="15.75" customHeight="1">
      <c r="A21" s="9">
        <v>-8.5</v>
      </c>
      <c r="B21" s="9">
        <v>3</v>
      </c>
      <c r="C21" s="9">
        <f t="shared" si="0"/>
        <v>0.5</v>
      </c>
      <c r="D21" s="9" t="s">
        <v>786</v>
      </c>
    </row>
    <row r="22" spans="1:4" ht="15.75" customHeight="1">
      <c r="A22" s="6"/>
      <c r="B22" s="30"/>
      <c r="C22" s="30"/>
    </row>
    <row r="23" spans="1:4" ht="15.75" customHeight="1">
      <c r="A23" s="6" t="s">
        <v>27</v>
      </c>
    </row>
    <row r="24" spans="1:4" ht="15.75" customHeight="1">
      <c r="A24" s="34" t="s">
        <v>787</v>
      </c>
    </row>
    <row r="25" spans="1:4" ht="15.75" customHeight="1">
      <c r="A25" s="8" t="s">
        <v>629</v>
      </c>
      <c r="B25" s="8" t="s">
        <v>788</v>
      </c>
      <c r="C25" s="8" t="s">
        <v>49</v>
      </c>
    </row>
    <row r="26" spans="1:4" ht="15.75" customHeight="1">
      <c r="A26" s="9">
        <v>5</v>
      </c>
      <c r="B26" s="9">
        <v>6</v>
      </c>
      <c r="C26" s="9">
        <f t="shared" ref="C26:C29" si="1">MOD(A26,B26)</f>
        <v>5</v>
      </c>
      <c r="D26" s="4" t="e">
        <f t="shared" ref="D26:D29" ca="1" si="2">_xludf.FORMULATEXT(C26)</f>
        <v>#NAME?</v>
      </c>
    </row>
    <row r="27" spans="1:4" ht="15.75" customHeight="1">
      <c r="A27" s="9">
        <v>9</v>
      </c>
      <c r="B27" s="9">
        <v>2</v>
      </c>
      <c r="C27" s="9">
        <f t="shared" si="1"/>
        <v>1</v>
      </c>
      <c r="D27" s="4" t="e">
        <f t="shared" ca="1" si="2"/>
        <v>#NAME?</v>
      </c>
    </row>
    <row r="28" spans="1:4" ht="15.75" customHeight="1">
      <c r="A28" s="9">
        <v>8</v>
      </c>
      <c r="B28" s="9">
        <v>5</v>
      </c>
      <c r="C28" s="9">
        <f t="shared" si="1"/>
        <v>3</v>
      </c>
      <c r="D28" s="4" t="e">
        <f t="shared" ca="1" si="2"/>
        <v>#NAME?</v>
      </c>
    </row>
    <row r="29" spans="1:4" ht="15.75" customHeight="1">
      <c r="A29" s="65">
        <v>-4.6985000000000001</v>
      </c>
      <c r="B29" s="9">
        <v>-1</v>
      </c>
      <c r="C29" s="65">
        <f t="shared" si="1"/>
        <v>-0.69850000000000012</v>
      </c>
      <c r="D29" s="4" t="e">
        <f t="shared" ca="1" si="2"/>
        <v>#NAME?</v>
      </c>
    </row>
    <row r="30" spans="1:4" ht="15.75" customHeight="1">
      <c r="A30" s="6"/>
      <c r="B30" s="30"/>
      <c r="C30" s="30"/>
    </row>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ageMargins left="0.7" right="0.7" top="0.75" bottom="0.75" header="0" footer="0"/>
  <pageSetup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21"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789</v>
      </c>
      <c r="B1" s="149"/>
      <c r="C1" s="31"/>
      <c r="D1" s="2"/>
      <c r="E1" s="2"/>
      <c r="F1" s="2"/>
      <c r="G1" s="2"/>
      <c r="H1" s="2"/>
      <c r="I1" s="2"/>
      <c r="J1" s="2"/>
      <c r="K1" s="2"/>
    </row>
    <row r="3" spans="1:11" ht="18.75">
      <c r="A3" s="3" t="s">
        <v>1</v>
      </c>
    </row>
    <row r="4" spans="1:11" ht="15" customHeight="1">
      <c r="A4" s="162" t="s">
        <v>790</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791</v>
      </c>
    </row>
    <row r="9" spans="1:11" ht="15.75">
      <c r="A9" s="6" t="s">
        <v>792</v>
      </c>
    </row>
    <row r="10" spans="1:11">
      <c r="A10" s="4" t="s">
        <v>793</v>
      </c>
    </row>
    <row r="12" spans="1:11" ht="15.75">
      <c r="A12" s="6" t="s">
        <v>11</v>
      </c>
    </row>
    <row r="13" spans="1:11">
      <c r="A13" s="34" t="s">
        <v>794</v>
      </c>
    </row>
    <row r="14" spans="1:11">
      <c r="A14" s="8" t="s">
        <v>795</v>
      </c>
      <c r="B14" s="8" t="s">
        <v>796</v>
      </c>
      <c r="C14" s="8" t="s">
        <v>797</v>
      </c>
      <c r="D14" s="8" t="s">
        <v>49</v>
      </c>
      <c r="E14" s="8" t="s">
        <v>16</v>
      </c>
    </row>
    <row r="15" spans="1:11">
      <c r="A15" s="9">
        <v>3</v>
      </c>
      <c r="B15" s="9">
        <v>5</v>
      </c>
      <c r="C15" s="9">
        <v>3</v>
      </c>
      <c r="D15" s="9">
        <f t="shared" ref="D15:D18" si="0">MIN(A15:C15)</f>
        <v>3</v>
      </c>
      <c r="E15" s="15" t="s">
        <v>798</v>
      </c>
    </row>
    <row r="16" spans="1:11">
      <c r="A16" s="9">
        <v>19</v>
      </c>
      <c r="B16" s="9" t="s">
        <v>126</v>
      </c>
      <c r="C16" s="9">
        <v>1</v>
      </c>
      <c r="D16" s="9">
        <f t="shared" si="0"/>
        <v>1</v>
      </c>
      <c r="E16" s="15" t="s">
        <v>799</v>
      </c>
    </row>
    <row r="17" spans="1:5">
      <c r="A17" s="9">
        <v>8</v>
      </c>
      <c r="B17" s="9" t="s">
        <v>800</v>
      </c>
      <c r="C17" s="9" t="s">
        <v>801</v>
      </c>
      <c r="D17" s="9">
        <f t="shared" si="0"/>
        <v>8</v>
      </c>
      <c r="E17" s="15" t="s">
        <v>802</v>
      </c>
    </row>
    <row r="18" spans="1:5">
      <c r="A18" s="9">
        <v>-8.5</v>
      </c>
      <c r="B18" s="9">
        <v>3</v>
      </c>
      <c r="C18" s="9">
        <v>0.5</v>
      </c>
      <c r="D18" s="9">
        <f t="shared" si="0"/>
        <v>-8.5</v>
      </c>
      <c r="E18" s="15" t="s">
        <v>803</v>
      </c>
    </row>
    <row r="19" spans="1:5" ht="15.75">
      <c r="A19" s="6"/>
      <c r="B19" s="30"/>
      <c r="C19" s="30"/>
    </row>
    <row r="20" spans="1:5" ht="15.75">
      <c r="A20" s="6" t="s">
        <v>27</v>
      </c>
    </row>
    <row r="21" spans="1:5" ht="15.75" customHeight="1">
      <c r="A21" s="34" t="s">
        <v>804</v>
      </c>
    </row>
    <row r="22" spans="1:5" ht="15.75" customHeight="1">
      <c r="A22" s="8" t="s">
        <v>795</v>
      </c>
      <c r="B22" s="8" t="s">
        <v>796</v>
      </c>
      <c r="C22" s="8" t="s">
        <v>797</v>
      </c>
      <c r="D22" s="8" t="s">
        <v>49</v>
      </c>
    </row>
    <row r="23" spans="1:5" ht="15.75" customHeight="1">
      <c r="A23" s="9">
        <v>3</v>
      </c>
      <c r="B23" s="9">
        <v>5</v>
      </c>
      <c r="C23" s="9">
        <v>3</v>
      </c>
      <c r="D23" s="9" t="str">
        <f t="shared" ref="D23:D26" si="1">IF(MIN(A23:C23) &lt; 5, "Less than 5", "Greater than equal to 5")</f>
        <v>Less than 5</v>
      </c>
    </row>
    <row r="24" spans="1:5" ht="15.75" customHeight="1">
      <c r="A24" s="9">
        <v>19</v>
      </c>
      <c r="B24" s="9" t="s">
        <v>126</v>
      </c>
      <c r="C24" s="9">
        <v>1</v>
      </c>
      <c r="D24" s="9" t="str">
        <f t="shared" si="1"/>
        <v>Less than 5</v>
      </c>
    </row>
    <row r="25" spans="1:5" ht="15.75" customHeight="1">
      <c r="A25" s="9">
        <v>8</v>
      </c>
      <c r="B25" s="9" t="s">
        <v>800</v>
      </c>
      <c r="C25" s="9" t="s">
        <v>801</v>
      </c>
      <c r="D25" s="9" t="str">
        <f t="shared" si="1"/>
        <v>Greater than equal to 5</v>
      </c>
    </row>
    <row r="26" spans="1:5" ht="15.75" customHeight="1">
      <c r="A26" s="9">
        <v>-8.5</v>
      </c>
      <c r="B26" s="9">
        <v>3</v>
      </c>
      <c r="C26" s="9">
        <v>0.5</v>
      </c>
      <c r="D26" s="9" t="str">
        <f t="shared" si="1"/>
        <v>Less than 5</v>
      </c>
    </row>
    <row r="27" spans="1:5" ht="15.75" customHeight="1">
      <c r="A27" s="6"/>
      <c r="B27" s="30"/>
      <c r="C27" s="30"/>
    </row>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ageMargins left="0.7" right="0.7" top="0.75" bottom="0.75" header="0" footer="0"/>
  <pageSetup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805</v>
      </c>
      <c r="B1" s="149"/>
      <c r="C1" s="31"/>
      <c r="D1" s="2"/>
      <c r="E1" s="2"/>
      <c r="F1" s="2"/>
      <c r="G1" s="2"/>
      <c r="H1" s="2"/>
      <c r="I1" s="2"/>
      <c r="J1" s="2"/>
      <c r="K1" s="2"/>
    </row>
    <row r="3" spans="1:11" ht="18.75">
      <c r="A3" s="3" t="s">
        <v>1</v>
      </c>
    </row>
    <row r="4" spans="1:11" ht="15" customHeight="1">
      <c r="A4" s="162" t="s">
        <v>806</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807</v>
      </c>
    </row>
    <row r="9" spans="1:11" ht="15.75">
      <c r="A9" s="6" t="s">
        <v>792</v>
      </c>
    </row>
    <row r="10" spans="1:11">
      <c r="A10" s="4" t="s">
        <v>808</v>
      </c>
    </row>
    <row r="12" spans="1:11" ht="15.75">
      <c r="A12" s="6" t="s">
        <v>11</v>
      </c>
    </row>
    <row r="13" spans="1:11">
      <c r="A13" s="34" t="s">
        <v>809</v>
      </c>
    </row>
    <row r="14" spans="1:11">
      <c r="A14" s="8" t="s">
        <v>795</v>
      </c>
      <c r="B14" s="8" t="s">
        <v>796</v>
      </c>
      <c r="C14" s="8" t="s">
        <v>797</v>
      </c>
      <c r="D14" s="8" t="s">
        <v>49</v>
      </c>
      <c r="E14" s="8" t="s">
        <v>16</v>
      </c>
    </row>
    <row r="15" spans="1:11">
      <c r="A15" s="9">
        <v>3</v>
      </c>
      <c r="B15" s="9">
        <v>5</v>
      </c>
      <c r="C15" s="9">
        <v>3</v>
      </c>
      <c r="D15" s="9">
        <f t="shared" ref="D15:D18" si="0">MAX(A15:C15)</f>
        <v>5</v>
      </c>
      <c r="E15" s="15" t="s">
        <v>810</v>
      </c>
    </row>
    <row r="16" spans="1:11">
      <c r="A16" s="9">
        <v>19</v>
      </c>
      <c r="B16" s="9" t="s">
        <v>126</v>
      </c>
      <c r="C16" s="9">
        <v>1</v>
      </c>
      <c r="D16" s="9">
        <f t="shared" si="0"/>
        <v>19</v>
      </c>
      <c r="E16" s="15" t="s">
        <v>811</v>
      </c>
    </row>
    <row r="17" spans="1:5">
      <c r="A17" s="9">
        <v>8</v>
      </c>
      <c r="B17" s="9" t="s">
        <v>800</v>
      </c>
      <c r="C17" s="9" t="s">
        <v>801</v>
      </c>
      <c r="D17" s="9">
        <f t="shared" si="0"/>
        <v>8</v>
      </c>
      <c r="E17" s="15" t="s">
        <v>812</v>
      </c>
    </row>
    <row r="18" spans="1:5">
      <c r="A18" s="9">
        <v>-8.5</v>
      </c>
      <c r="B18" s="9">
        <v>3</v>
      </c>
      <c r="C18" s="9">
        <v>0.5</v>
      </c>
      <c r="D18" s="9">
        <f t="shared" si="0"/>
        <v>3</v>
      </c>
      <c r="E18" s="15" t="s">
        <v>813</v>
      </c>
    </row>
    <row r="19" spans="1:5" ht="15.75">
      <c r="A19" s="6"/>
      <c r="B19" s="30"/>
      <c r="C19" s="30"/>
    </row>
    <row r="20" spans="1:5" ht="15.75">
      <c r="A20" s="6" t="s">
        <v>27</v>
      </c>
    </row>
    <row r="21" spans="1:5" ht="15.75" customHeight="1">
      <c r="A21" s="34" t="s">
        <v>814</v>
      </c>
    </row>
    <row r="22" spans="1:5" ht="15.75" customHeight="1">
      <c r="A22" s="8" t="s">
        <v>795</v>
      </c>
      <c r="B22" s="8" t="s">
        <v>796</v>
      </c>
      <c r="C22" s="8" t="s">
        <v>797</v>
      </c>
      <c r="D22" s="8" t="s">
        <v>49</v>
      </c>
    </row>
    <row r="23" spans="1:5" ht="15.75" customHeight="1">
      <c r="A23" s="9">
        <v>3</v>
      </c>
      <c r="B23" s="9">
        <v>5</v>
      </c>
      <c r="C23" s="9">
        <v>3</v>
      </c>
      <c r="D23" s="9">
        <f t="shared" ref="D23:D26" si="1">MAX(A23,C23)</f>
        <v>3</v>
      </c>
      <c r="E23" s="4" t="e">
        <f t="shared" ref="E23:E26" ca="1" si="2">_xludf.FORMULATEXT(D23)</f>
        <v>#NAME?</v>
      </c>
    </row>
    <row r="24" spans="1:5" ht="15.75" customHeight="1">
      <c r="A24" s="9">
        <v>19</v>
      </c>
      <c r="B24" s="9" t="s">
        <v>126</v>
      </c>
      <c r="C24" s="9">
        <v>1</v>
      </c>
      <c r="D24" s="9">
        <f t="shared" si="1"/>
        <v>19</v>
      </c>
      <c r="E24" s="4" t="e">
        <f t="shared" ca="1" si="2"/>
        <v>#NAME?</v>
      </c>
    </row>
    <row r="25" spans="1:5" ht="15.75" customHeight="1">
      <c r="A25" s="9">
        <v>8</v>
      </c>
      <c r="B25" s="9" t="s">
        <v>800</v>
      </c>
      <c r="C25" s="9" t="s">
        <v>801</v>
      </c>
      <c r="D25" s="9">
        <f t="shared" si="1"/>
        <v>8</v>
      </c>
      <c r="E25" s="4" t="e">
        <f t="shared" ca="1" si="2"/>
        <v>#NAME?</v>
      </c>
    </row>
    <row r="26" spans="1:5" ht="15.75" customHeight="1">
      <c r="A26" s="9">
        <v>-8.5</v>
      </c>
      <c r="B26" s="9">
        <v>3</v>
      </c>
      <c r="C26" s="9">
        <v>0.5</v>
      </c>
      <c r="D26" s="9">
        <f t="shared" si="1"/>
        <v>0.5</v>
      </c>
      <c r="E26" s="4" t="e">
        <f t="shared" ca="1" si="2"/>
        <v>#NAME?</v>
      </c>
    </row>
    <row r="27" spans="1:5" ht="15.75" customHeight="1">
      <c r="A27" s="6"/>
      <c r="B27" s="30"/>
      <c r="C27" s="30"/>
    </row>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ageMargins left="0.7" right="0.7" top="0.75" bottom="0.75" header="0" footer="0"/>
  <pageSetup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1.5">
      <c r="A1" s="161" t="s">
        <v>815</v>
      </c>
      <c r="B1" s="149"/>
      <c r="C1" s="31"/>
      <c r="D1" s="2"/>
      <c r="E1" s="2"/>
      <c r="F1" s="2"/>
      <c r="G1" s="2"/>
      <c r="H1" s="2"/>
      <c r="I1" s="2"/>
      <c r="J1" s="2"/>
      <c r="K1" s="2"/>
    </row>
    <row r="3" spans="1:11" ht="18.75">
      <c r="A3" s="3" t="s">
        <v>1</v>
      </c>
    </row>
    <row r="4" spans="1:11" ht="15" customHeight="1">
      <c r="A4" s="162" t="s">
        <v>816</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817</v>
      </c>
    </row>
    <row r="9" spans="1:11" ht="15.75">
      <c r="A9" s="6" t="s">
        <v>792</v>
      </c>
    </row>
    <row r="10" spans="1:11">
      <c r="A10" s="4" t="s">
        <v>818</v>
      </c>
    </row>
    <row r="12" spans="1:11" ht="15.75">
      <c r="A12" s="6" t="s">
        <v>11</v>
      </c>
    </row>
    <row r="13" spans="1:11">
      <c r="A13" s="34" t="s">
        <v>819</v>
      </c>
    </row>
    <row r="14" spans="1:11">
      <c r="A14" s="8" t="s">
        <v>795</v>
      </c>
      <c r="B14" s="8" t="s">
        <v>796</v>
      </c>
      <c r="C14" s="8" t="s">
        <v>797</v>
      </c>
      <c r="D14" s="8" t="s">
        <v>49</v>
      </c>
      <c r="E14" s="8" t="s">
        <v>16</v>
      </c>
    </row>
    <row r="15" spans="1:11">
      <c r="A15" s="9">
        <v>3</v>
      </c>
      <c r="B15" s="9"/>
      <c r="C15" s="9">
        <v>5</v>
      </c>
      <c r="D15" s="9">
        <f t="shared" ref="D15:D18" si="0">AVERAGE(A15:C15)</f>
        <v>4</v>
      </c>
      <c r="E15" s="15" t="s">
        <v>810</v>
      </c>
    </row>
    <row r="16" spans="1:11">
      <c r="A16" s="9">
        <v>19</v>
      </c>
      <c r="B16" s="9" t="s">
        <v>126</v>
      </c>
      <c r="C16" s="9">
        <v>1</v>
      </c>
      <c r="D16" s="9">
        <f t="shared" si="0"/>
        <v>10</v>
      </c>
      <c r="E16" s="15" t="s">
        <v>811</v>
      </c>
    </row>
    <row r="17" spans="1:5">
      <c r="A17" s="9">
        <v>8</v>
      </c>
      <c r="B17" s="9" t="s">
        <v>800</v>
      </c>
      <c r="C17" s="9" t="s">
        <v>801</v>
      </c>
      <c r="D17" s="9">
        <f t="shared" si="0"/>
        <v>8</v>
      </c>
      <c r="E17" s="15" t="s">
        <v>812</v>
      </c>
    </row>
    <row r="18" spans="1:5">
      <c r="A18" s="9">
        <v>-8.5</v>
      </c>
      <c r="B18" s="9">
        <v>3</v>
      </c>
      <c r="C18" s="9">
        <v>0.5</v>
      </c>
      <c r="D18" s="9">
        <f t="shared" si="0"/>
        <v>-1.6666666666666667</v>
      </c>
      <c r="E18" s="15" t="s">
        <v>813</v>
      </c>
    </row>
    <row r="19" spans="1:5" ht="15.75">
      <c r="A19" s="6"/>
      <c r="B19" s="30"/>
      <c r="C19" s="30"/>
    </row>
    <row r="20" spans="1:5" ht="15.75">
      <c r="A20" s="6" t="s">
        <v>27</v>
      </c>
    </row>
    <row r="21" spans="1:5" ht="15.75" customHeight="1">
      <c r="A21" s="34" t="s">
        <v>820</v>
      </c>
    </row>
    <row r="22" spans="1:5" ht="15.75" customHeight="1">
      <c r="A22" s="8" t="s">
        <v>795</v>
      </c>
      <c r="B22" s="8" t="s">
        <v>796</v>
      </c>
      <c r="C22" s="8" t="s">
        <v>797</v>
      </c>
      <c r="D22" s="8" t="s">
        <v>49</v>
      </c>
    </row>
    <row r="23" spans="1:5" ht="15.75" customHeight="1">
      <c r="A23" s="9">
        <v>3</v>
      </c>
      <c r="B23" s="9">
        <v>5</v>
      </c>
      <c r="C23" s="9">
        <v>3</v>
      </c>
      <c r="D23" s="9">
        <f t="shared" ref="D23:D26" si="1">MAX(A23,C23)</f>
        <v>3</v>
      </c>
    </row>
    <row r="24" spans="1:5" ht="15.75" customHeight="1">
      <c r="A24" s="9">
        <v>19</v>
      </c>
      <c r="B24" s="9" t="s">
        <v>126</v>
      </c>
      <c r="C24" s="9">
        <v>1</v>
      </c>
      <c r="D24" s="9">
        <f t="shared" si="1"/>
        <v>19</v>
      </c>
    </row>
    <row r="25" spans="1:5" ht="15.75" customHeight="1">
      <c r="A25" s="9">
        <v>8</v>
      </c>
      <c r="B25" s="9" t="s">
        <v>800</v>
      </c>
      <c r="C25" s="9" t="s">
        <v>801</v>
      </c>
      <c r="D25" s="9">
        <f t="shared" si="1"/>
        <v>8</v>
      </c>
    </row>
    <row r="26" spans="1:5" ht="15.75" customHeight="1">
      <c r="A26" s="9">
        <v>1.5</v>
      </c>
      <c r="B26" s="9"/>
      <c r="C26" s="9">
        <v>4.5</v>
      </c>
      <c r="D26" s="9">
        <f t="shared" si="1"/>
        <v>4.5</v>
      </c>
    </row>
    <row r="27" spans="1:5" ht="15.75" customHeight="1">
      <c r="A27" s="6"/>
      <c r="B27" s="30"/>
      <c r="C27" s="30"/>
    </row>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ageMargins left="0.7" right="0.7" top="0.75" bottom="0.75" header="0" footer="0"/>
  <pageSetup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Z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 min="12" max="26" width="8.7109375" customWidth="1"/>
  </cols>
  <sheetData>
    <row r="1" spans="1:11" ht="31.5">
      <c r="A1" s="161" t="s">
        <v>821</v>
      </c>
      <c r="B1" s="149"/>
      <c r="C1" s="31"/>
      <c r="D1" s="2"/>
      <c r="E1" s="2"/>
      <c r="F1" s="2"/>
      <c r="G1" s="2"/>
      <c r="H1" s="2"/>
      <c r="I1" s="2"/>
      <c r="J1" s="2"/>
      <c r="K1" s="2"/>
    </row>
    <row r="3" spans="1:11" ht="18.75">
      <c r="A3" s="3" t="s">
        <v>1</v>
      </c>
    </row>
    <row r="4" spans="1:11" ht="15" customHeight="1">
      <c r="A4" s="162" t="s">
        <v>822</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823</v>
      </c>
    </row>
    <row r="9" spans="1:11" ht="15.75">
      <c r="A9" s="6" t="s">
        <v>824</v>
      </c>
    </row>
    <row r="10" spans="1:11">
      <c r="A10" s="4" t="s">
        <v>825</v>
      </c>
    </row>
    <row r="12" spans="1:11" ht="15.75">
      <c r="A12" s="6" t="s">
        <v>826</v>
      </c>
    </row>
    <row r="13" spans="1:11">
      <c r="A13" s="4" t="s">
        <v>827</v>
      </c>
    </row>
    <row r="15" spans="1:11" ht="15.75">
      <c r="A15" s="6" t="s">
        <v>11</v>
      </c>
    </row>
    <row r="16" spans="1:11">
      <c r="A16" s="34" t="s">
        <v>828</v>
      </c>
    </row>
    <row r="17" spans="1:26" ht="30">
      <c r="A17" s="147" t="s">
        <v>829</v>
      </c>
      <c r="B17" s="144"/>
      <c r="C17" s="145"/>
      <c r="D17" s="13" t="s">
        <v>826</v>
      </c>
      <c r="E17" s="13" t="s">
        <v>49</v>
      </c>
      <c r="F17" s="147" t="s">
        <v>16</v>
      </c>
      <c r="G17" s="145"/>
      <c r="H17" s="67"/>
      <c r="I17" s="67"/>
      <c r="J17" s="67"/>
      <c r="K17" s="67"/>
      <c r="L17" s="67"/>
      <c r="M17" s="67"/>
      <c r="N17" s="67"/>
      <c r="O17" s="67"/>
      <c r="P17" s="67"/>
      <c r="Q17" s="67"/>
      <c r="R17" s="67"/>
      <c r="S17" s="67"/>
      <c r="T17" s="67"/>
      <c r="U17" s="67"/>
      <c r="V17" s="67"/>
      <c r="W17" s="67"/>
      <c r="X17" s="67"/>
      <c r="Y17" s="67"/>
      <c r="Z17" s="67"/>
    </row>
    <row r="18" spans="1:26">
      <c r="A18" s="9">
        <v>3</v>
      </c>
      <c r="B18" s="9">
        <v>1</v>
      </c>
      <c r="C18" s="9">
        <v>5</v>
      </c>
      <c r="D18" s="9">
        <v>1</v>
      </c>
      <c r="E18" s="9">
        <f>SMALL(A18:C21,D18)</f>
        <v>-8.5</v>
      </c>
      <c r="F18" s="146" t="s">
        <v>830</v>
      </c>
      <c r="G18" s="145"/>
    </row>
    <row r="19" spans="1:26">
      <c r="A19" s="9">
        <v>19</v>
      </c>
      <c r="B19" s="9">
        <v>50</v>
      </c>
      <c r="C19" s="9">
        <v>1</v>
      </c>
      <c r="D19" s="9">
        <v>5</v>
      </c>
      <c r="E19" s="9">
        <f>SMALL(A18:C21,D19)</f>
        <v>3</v>
      </c>
      <c r="F19" s="146" t="s">
        <v>831</v>
      </c>
      <c r="G19" s="145"/>
    </row>
    <row r="20" spans="1:26">
      <c r="A20" s="9">
        <v>8</v>
      </c>
      <c r="B20" s="9">
        <v>12</v>
      </c>
      <c r="C20" s="9">
        <v>20</v>
      </c>
      <c r="D20" s="9">
        <v>4</v>
      </c>
      <c r="E20" s="9">
        <f>SMALL(A18:C21,D20)</f>
        <v>1</v>
      </c>
      <c r="F20" s="146" t="s">
        <v>832</v>
      </c>
      <c r="G20" s="145"/>
    </row>
    <row r="21" spans="1:26" ht="15.75" customHeight="1">
      <c r="A21" s="9">
        <v>-8.5</v>
      </c>
      <c r="B21" s="9">
        <v>3</v>
      </c>
      <c r="C21" s="9">
        <v>0.5</v>
      </c>
      <c r="D21" s="9">
        <v>12</v>
      </c>
      <c r="E21" s="9">
        <f>SMALL(A18:C21,D21)</f>
        <v>50</v>
      </c>
      <c r="F21" s="146" t="s">
        <v>833</v>
      </c>
      <c r="G21" s="145"/>
    </row>
    <row r="22" spans="1:26" ht="15.75" customHeight="1">
      <c r="A22" s="6"/>
      <c r="B22" s="30"/>
      <c r="C22" s="30"/>
    </row>
    <row r="23" spans="1:26" ht="15.75" customHeight="1">
      <c r="A23" s="6" t="s">
        <v>27</v>
      </c>
    </row>
    <row r="24" spans="1:26" ht="15.75" customHeight="1">
      <c r="A24" s="34" t="s">
        <v>834</v>
      </c>
    </row>
    <row r="25" spans="1:26" ht="15.75" customHeight="1">
      <c r="A25" s="147" t="s">
        <v>829</v>
      </c>
      <c r="B25" s="144"/>
      <c r="C25" s="145"/>
      <c r="D25" s="13" t="s">
        <v>826</v>
      </c>
      <c r="E25" s="13" t="s">
        <v>49</v>
      </c>
    </row>
    <row r="26" spans="1:26" ht="15.75" customHeight="1">
      <c r="A26" s="9">
        <v>3</v>
      </c>
      <c r="B26" s="9">
        <v>5</v>
      </c>
      <c r="C26" s="9">
        <v>3</v>
      </c>
      <c r="D26" s="9">
        <v>1</v>
      </c>
      <c r="E26" s="9">
        <f>SMALL(A26:C29,D26)</f>
        <v>1</v>
      </c>
      <c r="F26" s="4" t="e">
        <f t="shared" ref="F26:F29" ca="1" si="0">_xludf.FORMULATEXT(E26)</f>
        <v>#NAME?</v>
      </c>
    </row>
    <row r="27" spans="1:26" ht="15.75" customHeight="1">
      <c r="A27" s="9">
        <v>19</v>
      </c>
      <c r="B27" s="9">
        <v>2</v>
      </c>
      <c r="C27" s="9">
        <v>1</v>
      </c>
      <c r="D27" s="9">
        <v>2</v>
      </c>
      <c r="E27" s="9">
        <f>SMALL(A26:C29,D27)</f>
        <v>1</v>
      </c>
      <c r="F27" s="4" t="e">
        <f t="shared" ca="1" si="0"/>
        <v>#NAME?</v>
      </c>
    </row>
    <row r="28" spans="1:26" ht="15.75" customHeight="1">
      <c r="A28" s="9">
        <v>8</v>
      </c>
      <c r="B28" s="9">
        <v>5</v>
      </c>
      <c r="C28" s="9">
        <v>3</v>
      </c>
      <c r="D28" s="9">
        <v>3</v>
      </c>
      <c r="E28" s="9">
        <f>SMALL(A26:C29,D28)</f>
        <v>1.5</v>
      </c>
      <c r="F28" s="4" t="e">
        <f t="shared" ca="1" si="0"/>
        <v>#NAME?</v>
      </c>
    </row>
    <row r="29" spans="1:26" ht="15.75" customHeight="1">
      <c r="A29" s="9">
        <v>1.5</v>
      </c>
      <c r="B29" s="9">
        <v>1</v>
      </c>
      <c r="C29" s="9">
        <v>4.5</v>
      </c>
      <c r="D29" s="9">
        <v>4</v>
      </c>
      <c r="E29" s="9">
        <f>SMALL(A26:C29,D29)</f>
        <v>2</v>
      </c>
      <c r="F29" s="4" t="e">
        <f t="shared" ca="1" si="0"/>
        <v>#NAME?</v>
      </c>
    </row>
    <row r="30" spans="1:26" ht="15.75" customHeight="1">
      <c r="A30" s="6"/>
      <c r="B30" s="30"/>
      <c r="C30" s="30"/>
    </row>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C17"/>
    <mergeCell ref="A25:C25"/>
    <mergeCell ref="A1:B1"/>
    <mergeCell ref="A4:I4"/>
    <mergeCell ref="F17:G17"/>
    <mergeCell ref="F18:G18"/>
    <mergeCell ref="F19:G19"/>
    <mergeCell ref="F20:G20"/>
    <mergeCell ref="F21:G21"/>
  </mergeCells>
  <pageMargins left="0.7" right="0.7" top="0.75" bottom="0.75" header="0" footer="0"/>
  <pageSetup orientation="portrait"/>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 min="12" max="26" width="8.7109375" customWidth="1"/>
  </cols>
  <sheetData>
    <row r="1" spans="1:11" ht="31.5">
      <c r="A1" s="161" t="s">
        <v>835</v>
      </c>
      <c r="B1" s="149"/>
      <c r="C1" s="31"/>
      <c r="D1" s="2"/>
      <c r="E1" s="2"/>
      <c r="F1" s="2"/>
      <c r="G1" s="2"/>
      <c r="H1" s="2"/>
      <c r="I1" s="2"/>
      <c r="J1" s="2"/>
      <c r="K1" s="2"/>
    </row>
    <row r="3" spans="1:11" ht="18.75">
      <c r="A3" s="3" t="s">
        <v>1</v>
      </c>
    </row>
    <row r="4" spans="1:11" ht="15" customHeight="1">
      <c r="A4" s="162" t="s">
        <v>836</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837</v>
      </c>
    </row>
    <row r="9" spans="1:11" ht="15.75">
      <c r="A9" s="6" t="s">
        <v>824</v>
      </c>
    </row>
    <row r="10" spans="1:11">
      <c r="A10" s="4" t="s">
        <v>838</v>
      </c>
    </row>
    <row r="12" spans="1:11" ht="15.75">
      <c r="A12" s="6" t="s">
        <v>839</v>
      </c>
    </row>
    <row r="13" spans="1:11">
      <c r="A13" s="4" t="s">
        <v>840</v>
      </c>
    </row>
    <row r="15" spans="1:11" ht="15.75">
      <c r="A15" s="6" t="s">
        <v>11</v>
      </c>
    </row>
    <row r="16" spans="1:11">
      <c r="A16" s="34" t="s">
        <v>828</v>
      </c>
    </row>
    <row r="17" spans="1:26" ht="30">
      <c r="A17" s="147" t="s">
        <v>829</v>
      </c>
      <c r="B17" s="144"/>
      <c r="C17" s="145"/>
      <c r="D17" s="13" t="s">
        <v>839</v>
      </c>
      <c r="E17" s="13" t="s">
        <v>49</v>
      </c>
      <c r="F17" s="147" t="s">
        <v>16</v>
      </c>
      <c r="G17" s="145"/>
      <c r="H17" s="67"/>
      <c r="I17" s="67"/>
      <c r="J17" s="67"/>
      <c r="K17" s="67"/>
      <c r="L17" s="67"/>
      <c r="M17" s="67"/>
      <c r="N17" s="67"/>
      <c r="O17" s="67"/>
      <c r="P17" s="67"/>
      <c r="Q17" s="67"/>
      <c r="R17" s="67"/>
      <c r="S17" s="67"/>
      <c r="T17" s="67"/>
      <c r="U17" s="67"/>
      <c r="V17" s="67"/>
      <c r="W17" s="67"/>
      <c r="X17" s="67"/>
      <c r="Y17" s="67"/>
      <c r="Z17" s="67"/>
    </row>
    <row r="18" spans="1:26">
      <c r="A18" s="9">
        <v>3</v>
      </c>
      <c r="B18" s="9">
        <v>1</v>
      </c>
      <c r="C18" s="9">
        <v>5</v>
      </c>
      <c r="D18" s="9">
        <v>1</v>
      </c>
      <c r="E18" s="9">
        <f>LARGE(A18:C21,D18)</f>
        <v>50</v>
      </c>
      <c r="F18" s="146" t="s">
        <v>841</v>
      </c>
      <c r="G18" s="145"/>
    </row>
    <row r="19" spans="1:26">
      <c r="A19" s="9">
        <v>19</v>
      </c>
      <c r="B19" s="9">
        <v>50</v>
      </c>
      <c r="C19" s="9">
        <v>1</v>
      </c>
      <c r="D19" s="9">
        <v>5</v>
      </c>
      <c r="E19" s="9">
        <f>LARGE(A18:C21,D19)</f>
        <v>8</v>
      </c>
      <c r="F19" s="146" t="s">
        <v>842</v>
      </c>
      <c r="G19" s="145"/>
    </row>
    <row r="20" spans="1:26">
      <c r="A20" s="9">
        <v>8</v>
      </c>
      <c r="B20" s="9">
        <v>12</v>
      </c>
      <c r="C20" s="9">
        <v>20</v>
      </c>
      <c r="D20" s="9">
        <v>4</v>
      </c>
      <c r="E20" s="9">
        <f>LARGE(A18:C21,D20)</f>
        <v>12</v>
      </c>
      <c r="F20" s="146" t="s">
        <v>843</v>
      </c>
      <c r="G20" s="145"/>
    </row>
    <row r="21" spans="1:26" ht="15.75" customHeight="1">
      <c r="A21" s="9">
        <v>-8.5</v>
      </c>
      <c r="B21" s="9">
        <v>3</v>
      </c>
      <c r="C21" s="9">
        <v>0.5</v>
      </c>
      <c r="D21" s="9">
        <v>12</v>
      </c>
      <c r="E21" s="9">
        <f>LARGE(A18:C21,D21)</f>
        <v>-8.5</v>
      </c>
      <c r="F21" s="146" t="s">
        <v>844</v>
      </c>
      <c r="G21" s="145"/>
    </row>
    <row r="22" spans="1:26" ht="15.75" customHeight="1">
      <c r="A22" s="6"/>
      <c r="B22" s="30"/>
      <c r="C22" s="30"/>
    </row>
    <row r="23" spans="1:26" ht="15.75" customHeight="1">
      <c r="A23" s="6" t="s">
        <v>27</v>
      </c>
    </row>
    <row r="24" spans="1:26" ht="15.75" customHeight="1">
      <c r="A24" s="34" t="s">
        <v>845</v>
      </c>
    </row>
    <row r="25" spans="1:26" ht="15.75" customHeight="1">
      <c r="A25" s="147" t="s">
        <v>829</v>
      </c>
      <c r="B25" s="144"/>
      <c r="C25" s="145"/>
      <c r="D25" s="13" t="s">
        <v>839</v>
      </c>
      <c r="E25" s="13" t="s">
        <v>49</v>
      </c>
    </row>
    <row r="26" spans="1:26" ht="15.75" customHeight="1">
      <c r="A26" s="9">
        <v>3</v>
      </c>
      <c r="B26" s="9">
        <v>5</v>
      </c>
      <c r="C26" s="9">
        <v>3</v>
      </c>
      <c r="D26" s="9">
        <v>1</v>
      </c>
      <c r="E26" s="9">
        <f>LARGE(A26:C29,D26)</f>
        <v>19</v>
      </c>
      <c r="F26" s="4" t="e">
        <f t="shared" ref="F26:F29" ca="1" si="0">_xludf.FORMULATEXT(E26)</f>
        <v>#NAME?</v>
      </c>
    </row>
    <row r="27" spans="1:26" ht="15.75" customHeight="1">
      <c r="A27" s="9">
        <v>19</v>
      </c>
      <c r="B27" s="9">
        <v>2</v>
      </c>
      <c r="C27" s="9">
        <v>1</v>
      </c>
      <c r="D27" s="9">
        <v>2</v>
      </c>
      <c r="E27" s="9">
        <f>LARGE(A26:C29,D27)</f>
        <v>8</v>
      </c>
      <c r="F27" s="4" t="e">
        <f t="shared" ca="1" si="0"/>
        <v>#NAME?</v>
      </c>
    </row>
    <row r="28" spans="1:26" ht="15.75" customHeight="1">
      <c r="A28" s="9">
        <v>8</v>
      </c>
      <c r="B28" s="9">
        <v>5</v>
      </c>
      <c r="C28" s="9">
        <v>3</v>
      </c>
      <c r="D28" s="9">
        <v>3</v>
      </c>
      <c r="E28" s="9">
        <f>LARGE(A26:C29,D28)</f>
        <v>5</v>
      </c>
      <c r="F28" s="4" t="e">
        <f t="shared" ca="1" si="0"/>
        <v>#NAME?</v>
      </c>
    </row>
    <row r="29" spans="1:26" ht="15.75" customHeight="1">
      <c r="A29" s="9">
        <v>1.5</v>
      </c>
      <c r="B29" s="9">
        <v>1</v>
      </c>
      <c r="C29" s="9">
        <v>4.5</v>
      </c>
      <c r="D29" s="9">
        <v>4</v>
      </c>
      <c r="E29" s="9">
        <f>LARGE(A26:C29,D29)</f>
        <v>5</v>
      </c>
      <c r="F29" s="4" t="e">
        <f t="shared" ca="1" si="0"/>
        <v>#NAME?</v>
      </c>
    </row>
    <row r="30" spans="1:26" ht="15.75" customHeight="1">
      <c r="A30" s="6"/>
      <c r="B30" s="30"/>
      <c r="C30" s="30"/>
    </row>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C17"/>
    <mergeCell ref="A25:C25"/>
    <mergeCell ref="A1:B1"/>
    <mergeCell ref="A4:I4"/>
    <mergeCell ref="F17:G17"/>
    <mergeCell ref="F18:G18"/>
    <mergeCell ref="F19:G19"/>
    <mergeCell ref="F20:G20"/>
    <mergeCell ref="F21:G21"/>
  </mergeCells>
  <pageMargins left="0.7" right="0.7" top="0.75" bottom="0.75" header="0" footer="0"/>
  <pageSetup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Z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 min="12" max="25" width="8.7109375" customWidth="1"/>
  </cols>
  <sheetData>
    <row r="1" spans="1:11" ht="31.5">
      <c r="A1" s="161" t="s">
        <v>846</v>
      </c>
      <c r="B1" s="149"/>
      <c r="C1" s="31"/>
      <c r="D1" s="2"/>
      <c r="E1" s="2"/>
      <c r="F1" s="2"/>
      <c r="G1" s="2"/>
      <c r="H1" s="2"/>
      <c r="I1" s="2"/>
      <c r="J1" s="2"/>
      <c r="K1" s="2"/>
    </row>
    <row r="3" spans="1:11" ht="18.75">
      <c r="A3" s="3" t="s">
        <v>1</v>
      </c>
    </row>
    <row r="4" spans="1:11" ht="15" customHeight="1">
      <c r="A4" s="162" t="s">
        <v>847</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848</v>
      </c>
    </row>
    <row r="9" spans="1:11" ht="15.75">
      <c r="A9" s="6" t="s">
        <v>849</v>
      </c>
    </row>
    <row r="10" spans="1:11">
      <c r="A10" s="4" t="s">
        <v>850</v>
      </c>
    </row>
    <row r="12" spans="1:11" ht="15.75">
      <c r="A12" s="6" t="s">
        <v>851</v>
      </c>
    </row>
    <row r="13" spans="1:11">
      <c r="A13" s="4" t="s">
        <v>852</v>
      </c>
    </row>
    <row r="15" spans="1:11" ht="15.75">
      <c r="A15" s="6" t="s">
        <v>11</v>
      </c>
    </row>
    <row r="16" spans="1:11">
      <c r="A16" s="34" t="s">
        <v>853</v>
      </c>
    </row>
    <row r="17" spans="1:26" ht="15" customHeight="1">
      <c r="A17" s="147" t="s">
        <v>854</v>
      </c>
      <c r="B17" s="144"/>
      <c r="C17" s="145"/>
      <c r="D17" s="13" t="s">
        <v>49</v>
      </c>
      <c r="E17" s="147" t="s">
        <v>16</v>
      </c>
      <c r="F17" s="145"/>
      <c r="G17" s="67"/>
      <c r="H17" s="67"/>
      <c r="I17" s="67"/>
      <c r="J17" s="67"/>
      <c r="K17" s="67"/>
      <c r="L17" s="67"/>
      <c r="M17" s="67"/>
      <c r="N17" s="67"/>
      <c r="O17" s="67"/>
      <c r="P17" s="67"/>
      <c r="Q17" s="67"/>
      <c r="R17" s="67"/>
      <c r="S17" s="67"/>
      <c r="T17" s="67"/>
      <c r="U17" s="67"/>
      <c r="V17" s="67"/>
      <c r="W17" s="67"/>
      <c r="X17" s="67"/>
      <c r="Y17" s="67"/>
      <c r="Z17" s="67"/>
    </row>
    <row r="18" spans="1:26">
      <c r="A18" s="9">
        <v>3</v>
      </c>
      <c r="B18" s="9">
        <v>1</v>
      </c>
      <c r="C18" s="9">
        <v>5</v>
      </c>
      <c r="D18" s="9">
        <f t="shared" ref="D18:D21" si="0">COUNT(A18:C18)</f>
        <v>3</v>
      </c>
      <c r="E18" s="146" t="s">
        <v>855</v>
      </c>
      <c r="F18" s="145"/>
    </row>
    <row r="19" spans="1:26">
      <c r="A19" s="9">
        <v>19</v>
      </c>
      <c r="B19" s="9" t="s">
        <v>81</v>
      </c>
      <c r="C19" s="9">
        <v>1</v>
      </c>
      <c r="D19" s="9">
        <f t="shared" si="0"/>
        <v>2</v>
      </c>
      <c r="E19" s="146" t="s">
        <v>856</v>
      </c>
      <c r="F19" s="145"/>
    </row>
    <row r="20" spans="1:26">
      <c r="A20" s="9">
        <v>8</v>
      </c>
      <c r="B20" s="9" t="s">
        <v>857</v>
      </c>
      <c r="C20" s="9">
        <v>20</v>
      </c>
      <c r="D20" s="9">
        <f t="shared" si="0"/>
        <v>2</v>
      </c>
      <c r="E20" s="146" t="s">
        <v>858</v>
      </c>
      <c r="F20" s="145"/>
    </row>
    <row r="21" spans="1:26" ht="15.75" customHeight="1">
      <c r="A21" s="9">
        <v>-8.5</v>
      </c>
      <c r="B21" s="9" t="s">
        <v>857</v>
      </c>
      <c r="C21" s="9" t="s">
        <v>84</v>
      </c>
      <c r="D21" s="9">
        <f t="shared" si="0"/>
        <v>1</v>
      </c>
      <c r="E21" s="146" t="s">
        <v>859</v>
      </c>
      <c r="F21" s="145"/>
    </row>
    <row r="22" spans="1:26" ht="15.75" customHeight="1">
      <c r="A22" s="6"/>
      <c r="B22" s="30"/>
      <c r="C22" s="30"/>
    </row>
    <row r="23" spans="1:26" ht="15.75" customHeight="1">
      <c r="A23" s="6" t="s">
        <v>289</v>
      </c>
    </row>
    <row r="24" spans="1:26" ht="15.75" customHeight="1">
      <c r="A24" s="34" t="s">
        <v>853</v>
      </c>
    </row>
    <row r="25" spans="1:26" ht="15.75" customHeight="1">
      <c r="A25" s="147" t="s">
        <v>854</v>
      </c>
      <c r="B25" s="144"/>
      <c r="C25" s="145"/>
      <c r="D25" s="13" t="s">
        <v>49</v>
      </c>
    </row>
    <row r="26" spans="1:26" ht="15.75" customHeight="1">
      <c r="A26" s="9">
        <v>3</v>
      </c>
      <c r="B26" s="9"/>
      <c r="C26" s="9">
        <v>3</v>
      </c>
      <c r="D26" s="9">
        <f t="shared" ref="D26:D29" si="1">COUNT(A26:C26)</f>
        <v>2</v>
      </c>
    </row>
    <row r="27" spans="1:26" ht="15.75" customHeight="1">
      <c r="A27" s="9" t="s">
        <v>800</v>
      </c>
      <c r="B27" s="9">
        <v>2</v>
      </c>
      <c r="C27" s="9">
        <v>1</v>
      </c>
      <c r="D27" s="9">
        <f t="shared" si="1"/>
        <v>2</v>
      </c>
    </row>
    <row r="28" spans="1:26" ht="15.75" customHeight="1">
      <c r="A28" s="9" t="s">
        <v>801</v>
      </c>
      <c r="B28" s="9">
        <v>5</v>
      </c>
      <c r="C28" s="9">
        <v>3</v>
      </c>
      <c r="D28" s="9">
        <f t="shared" si="1"/>
        <v>2</v>
      </c>
    </row>
    <row r="29" spans="1:26" ht="15.75" customHeight="1">
      <c r="A29" s="9">
        <v>1.5</v>
      </c>
      <c r="B29" s="9">
        <v>1</v>
      </c>
      <c r="C29" s="9">
        <v>4.5</v>
      </c>
      <c r="D29" s="9">
        <f t="shared" si="1"/>
        <v>3</v>
      </c>
    </row>
    <row r="30" spans="1:26" ht="15.75" customHeight="1">
      <c r="A30" s="6"/>
      <c r="B30" s="30"/>
      <c r="C30" s="30"/>
    </row>
    <row r="31" spans="1:26" ht="15.75" customHeight="1">
      <c r="A31" s="6" t="s">
        <v>292</v>
      </c>
    </row>
    <row r="32" spans="1:26" ht="15.75" customHeight="1">
      <c r="A32" s="68" t="s">
        <v>860</v>
      </c>
    </row>
    <row r="33" spans="1:4" ht="15.75" customHeight="1">
      <c r="A33" s="147" t="s">
        <v>854</v>
      </c>
      <c r="B33" s="144"/>
      <c r="C33" s="145"/>
      <c r="D33" s="13" t="s">
        <v>49</v>
      </c>
    </row>
    <row r="34" spans="1:4" ht="15.75" customHeight="1">
      <c r="A34" s="9">
        <v>3</v>
      </c>
      <c r="B34" s="9"/>
      <c r="C34" s="9">
        <v>3</v>
      </c>
      <c r="D34" s="9" t="str">
        <f t="shared" ref="D34:D37" si="2">IF(COUNT(A34:C34)&gt;=2, "Y", "N")</f>
        <v>Y</v>
      </c>
    </row>
    <row r="35" spans="1:4" ht="15.75" customHeight="1">
      <c r="A35" s="9" t="s">
        <v>800</v>
      </c>
      <c r="B35" s="9">
        <v>2</v>
      </c>
      <c r="C35" s="9">
        <v>1</v>
      </c>
      <c r="D35" s="9" t="str">
        <f t="shared" si="2"/>
        <v>Y</v>
      </c>
    </row>
    <row r="36" spans="1:4" ht="15.75" customHeight="1">
      <c r="A36" s="9" t="s">
        <v>801</v>
      </c>
      <c r="B36" s="9">
        <v>5</v>
      </c>
      <c r="C36" s="9">
        <v>3</v>
      </c>
      <c r="D36" s="9" t="str">
        <f t="shared" si="2"/>
        <v>Y</v>
      </c>
    </row>
    <row r="37" spans="1:4" ht="15.75" customHeight="1">
      <c r="A37" s="9">
        <v>1.5</v>
      </c>
      <c r="B37" s="9"/>
      <c r="C37" s="9" t="s">
        <v>861</v>
      </c>
      <c r="D37" s="9" t="str">
        <f t="shared" si="2"/>
        <v>N</v>
      </c>
    </row>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7:C17"/>
    <mergeCell ref="A25:C25"/>
    <mergeCell ref="A33:C33"/>
    <mergeCell ref="A1:B1"/>
    <mergeCell ref="A4:I4"/>
    <mergeCell ref="E17:F17"/>
    <mergeCell ref="E18:F18"/>
    <mergeCell ref="E19:F19"/>
    <mergeCell ref="E20:F20"/>
    <mergeCell ref="E21:F21"/>
  </mergeCells>
  <pageMargins left="0.7" right="0.7" top="0.75" bottom="0.75" header="0" footer="0"/>
  <pageSetup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Z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 min="12" max="26" width="8.7109375" customWidth="1"/>
  </cols>
  <sheetData>
    <row r="1" spans="1:11" ht="31.5">
      <c r="A1" s="161" t="s">
        <v>862</v>
      </c>
      <c r="B1" s="149"/>
      <c r="C1" s="31"/>
      <c r="D1" s="2"/>
      <c r="E1" s="2"/>
      <c r="F1" s="2"/>
      <c r="G1" s="2"/>
      <c r="H1" s="2"/>
      <c r="I1" s="2"/>
      <c r="J1" s="2"/>
      <c r="K1" s="2"/>
    </row>
    <row r="3" spans="1:11" ht="18.75">
      <c r="A3" s="3" t="s">
        <v>1</v>
      </c>
    </row>
    <row r="4" spans="1:11" ht="15" customHeight="1">
      <c r="A4" s="162" t="s">
        <v>863</v>
      </c>
      <c r="B4" s="142"/>
      <c r="C4" s="142"/>
      <c r="D4" s="142"/>
      <c r="E4" s="142"/>
      <c r="F4" s="142"/>
      <c r="G4" s="142"/>
      <c r="H4" s="142"/>
      <c r="I4" s="142"/>
    </row>
    <row r="5" spans="1:11">
      <c r="A5" s="32"/>
      <c r="B5" s="32"/>
      <c r="C5" s="32"/>
      <c r="D5" s="32"/>
      <c r="E5" s="32"/>
      <c r="F5" s="32"/>
      <c r="G5" s="32"/>
      <c r="H5" s="32"/>
      <c r="I5" s="32"/>
    </row>
    <row r="6" spans="1:11" ht="18.75">
      <c r="A6" s="3" t="s">
        <v>3</v>
      </c>
    </row>
    <row r="7" spans="1:11" ht="15.75">
      <c r="A7" s="5" t="s">
        <v>864</v>
      </c>
    </row>
    <row r="9" spans="1:11" ht="15.75">
      <c r="A9" s="6" t="s">
        <v>597</v>
      </c>
    </row>
    <row r="10" spans="1:11">
      <c r="A10" s="4" t="s">
        <v>865</v>
      </c>
    </row>
    <row r="12" spans="1:11" ht="15.75">
      <c r="A12" s="6" t="s">
        <v>680</v>
      </c>
    </row>
    <row r="13" spans="1:11">
      <c r="A13" s="4" t="s">
        <v>866</v>
      </c>
    </row>
    <row r="15" spans="1:11" ht="15.75">
      <c r="A15" s="6" t="s">
        <v>11</v>
      </c>
    </row>
    <row r="16" spans="1:11">
      <c r="A16" s="34" t="s">
        <v>867</v>
      </c>
    </row>
    <row r="17" spans="1:26" ht="15" customHeight="1">
      <c r="A17" s="13" t="s">
        <v>113</v>
      </c>
      <c r="B17" s="13" t="s">
        <v>114</v>
      </c>
      <c r="C17" s="13" t="s">
        <v>634</v>
      </c>
      <c r="D17" s="13" t="s">
        <v>655</v>
      </c>
      <c r="E17" s="16" t="s">
        <v>656</v>
      </c>
      <c r="F17" s="16" t="s">
        <v>49</v>
      </c>
      <c r="G17" s="147" t="s">
        <v>16</v>
      </c>
      <c r="H17" s="145"/>
      <c r="I17" s="67"/>
      <c r="J17" s="67"/>
      <c r="K17" s="67"/>
      <c r="L17" s="67"/>
      <c r="M17" s="67"/>
      <c r="N17" s="67"/>
      <c r="O17" s="67"/>
      <c r="P17" s="67"/>
      <c r="Q17" s="67"/>
      <c r="R17" s="67"/>
      <c r="S17" s="67"/>
      <c r="T17" s="67"/>
      <c r="U17" s="67"/>
      <c r="V17" s="67"/>
      <c r="W17" s="67"/>
      <c r="X17" s="67"/>
      <c r="Y17" s="67"/>
      <c r="Z17" s="67"/>
    </row>
    <row r="18" spans="1:26" ht="15" customHeight="1">
      <c r="A18" s="9">
        <v>3</v>
      </c>
      <c r="B18" s="9">
        <v>1</v>
      </c>
      <c r="C18" s="9">
        <v>5</v>
      </c>
      <c r="D18" s="9">
        <v>3</v>
      </c>
      <c r="E18" s="10" t="s">
        <v>868</v>
      </c>
      <c r="F18" s="10">
        <f>COUNTIF(A18:D18,"&gt;1")</f>
        <v>3</v>
      </c>
      <c r="G18" s="146" t="s">
        <v>869</v>
      </c>
      <c r="H18" s="145"/>
    </row>
    <row r="19" spans="1:26" ht="15" customHeight="1">
      <c r="A19" s="9">
        <v>19</v>
      </c>
      <c r="B19" s="9" t="s">
        <v>81</v>
      </c>
      <c r="C19" s="9"/>
      <c r="D19" s="9">
        <v>0</v>
      </c>
      <c r="E19" s="10" t="s">
        <v>870</v>
      </c>
      <c r="F19" s="10">
        <f>COUNTIF(A19:D19,"=0")</f>
        <v>1</v>
      </c>
      <c r="G19" s="146" t="s">
        <v>871</v>
      </c>
      <c r="H19" s="145"/>
    </row>
    <row r="20" spans="1:26" ht="15" customHeight="1">
      <c r="A20" s="9">
        <v>8</v>
      </c>
      <c r="B20" s="9" t="s">
        <v>861</v>
      </c>
      <c r="C20" s="9">
        <v>20</v>
      </c>
      <c r="D20" s="9">
        <v>2</v>
      </c>
      <c r="E20" s="10" t="s">
        <v>872</v>
      </c>
      <c r="F20" s="10">
        <f>COUNTIF(A20:D20,"&gt;=2")</f>
        <v>3</v>
      </c>
      <c r="G20" s="146" t="s">
        <v>873</v>
      </c>
      <c r="H20" s="145"/>
    </row>
    <row r="21" spans="1:26" ht="15" customHeight="1">
      <c r="A21" s="9">
        <v>-8.5</v>
      </c>
      <c r="B21" s="9">
        <v>0</v>
      </c>
      <c r="C21" s="9" t="s">
        <v>84</v>
      </c>
      <c r="D21" s="9">
        <v>-1</v>
      </c>
      <c r="E21" s="10" t="s">
        <v>874</v>
      </c>
      <c r="F21" s="10">
        <f>COUNTIF(A21:D21,"&lt;0")</f>
        <v>2</v>
      </c>
      <c r="G21" s="146" t="s">
        <v>875</v>
      </c>
      <c r="H21" s="145"/>
    </row>
    <row r="22" spans="1:26" ht="15.75" customHeight="1">
      <c r="A22" s="6"/>
      <c r="B22" s="30"/>
      <c r="C22" s="30"/>
    </row>
    <row r="23" spans="1:26" ht="15.75" customHeight="1">
      <c r="A23" s="6" t="s">
        <v>27</v>
      </c>
    </row>
    <row r="24" spans="1:26" ht="15.75" customHeight="1">
      <c r="A24" s="34" t="s">
        <v>867</v>
      </c>
    </row>
    <row r="25" spans="1:26" ht="15" customHeight="1">
      <c r="A25" s="13" t="s">
        <v>113</v>
      </c>
      <c r="B25" s="13" t="s">
        <v>114</v>
      </c>
      <c r="C25" s="13" t="s">
        <v>634</v>
      </c>
      <c r="D25" s="13" t="s">
        <v>655</v>
      </c>
      <c r="E25" s="16" t="s">
        <v>656</v>
      </c>
      <c r="F25" s="13" t="s">
        <v>49</v>
      </c>
    </row>
    <row r="26" spans="1:26" ht="15.75" customHeight="1">
      <c r="A26" s="9">
        <v>1</v>
      </c>
      <c r="B26" s="9">
        <v>-1</v>
      </c>
      <c r="C26" s="9">
        <v>5</v>
      </c>
      <c r="D26" s="9">
        <v>3</v>
      </c>
      <c r="E26" s="10" t="s">
        <v>876</v>
      </c>
      <c r="F26" s="9">
        <f>COUNTIF(A26:D26,"&gt;2")</f>
        <v>2</v>
      </c>
      <c r="G26" s="4" t="e">
        <f t="shared" ref="G26:G29" ca="1" si="0">_xludf.FORMULATEXT(F26)</f>
        <v>#NAME?</v>
      </c>
    </row>
    <row r="27" spans="1:26" ht="15.75" customHeight="1">
      <c r="A27" s="9">
        <v>19</v>
      </c>
      <c r="B27" s="9" t="s">
        <v>81</v>
      </c>
      <c r="C27" s="9"/>
      <c r="D27" s="9">
        <v>0</v>
      </c>
      <c r="E27" s="10" t="s">
        <v>877</v>
      </c>
      <c r="F27" s="9">
        <f>COUNTIF(A27:D27,"&gt;=0")</f>
        <v>2</v>
      </c>
      <c r="G27" s="4" t="e">
        <f t="shared" ca="1" si="0"/>
        <v>#NAME?</v>
      </c>
    </row>
    <row r="28" spans="1:26" ht="15.75" customHeight="1">
      <c r="A28" s="9">
        <v>8</v>
      </c>
      <c r="B28" s="9">
        <v>-50</v>
      </c>
      <c r="C28" s="9">
        <v>20</v>
      </c>
      <c r="D28" s="9">
        <v>2</v>
      </c>
      <c r="E28" s="10" t="s">
        <v>878</v>
      </c>
      <c r="F28" s="9">
        <f>COUNTIF(A28:D28,"&gt;=20")</f>
        <v>1</v>
      </c>
      <c r="G28" s="4" t="e">
        <f t="shared" ca="1" si="0"/>
        <v>#NAME?</v>
      </c>
    </row>
    <row r="29" spans="1:26" ht="15.75" customHeight="1">
      <c r="A29" s="9">
        <v>-8.5</v>
      </c>
      <c r="B29" s="9">
        <v>0</v>
      </c>
      <c r="C29" s="9"/>
      <c r="D29" s="9">
        <v>-1</v>
      </c>
      <c r="E29" s="10" t="s">
        <v>879</v>
      </c>
      <c r="F29" s="9">
        <f>COUNTIF(A29:D29,"&lt;=0")</f>
        <v>3</v>
      </c>
      <c r="G29" s="4" t="e">
        <f t="shared" ca="1" si="0"/>
        <v>#NAME?</v>
      </c>
    </row>
    <row r="30" spans="1:26" ht="15.75" customHeight="1">
      <c r="A30" s="6"/>
      <c r="B30" s="30"/>
      <c r="C30" s="30"/>
    </row>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G20:H20"/>
    <mergeCell ref="G21:H21"/>
    <mergeCell ref="A1:B1"/>
    <mergeCell ref="A4:I4"/>
    <mergeCell ref="G17:H17"/>
    <mergeCell ref="G18:H18"/>
    <mergeCell ref="G19:H19"/>
  </mergeCells>
  <pageMargins left="0.7" right="0.7" top="0.75" bottom="0.75" header="0" footer="0"/>
  <pageSetup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Z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 min="12" max="26" width="8.7109375" customWidth="1"/>
  </cols>
  <sheetData>
    <row r="1" spans="1:26" ht="31.5">
      <c r="A1" s="161" t="s">
        <v>880</v>
      </c>
      <c r="B1" s="149"/>
      <c r="C1" s="31"/>
      <c r="D1" s="2"/>
      <c r="E1" s="2"/>
      <c r="F1" s="2"/>
      <c r="G1" s="2"/>
      <c r="H1" s="2"/>
      <c r="I1" s="2"/>
      <c r="J1" s="2"/>
      <c r="K1" s="2"/>
    </row>
    <row r="3" spans="1:26" ht="18.75">
      <c r="A3" s="3" t="s">
        <v>1</v>
      </c>
    </row>
    <row r="4" spans="1:26" ht="15" customHeight="1">
      <c r="A4" s="162" t="s">
        <v>881</v>
      </c>
      <c r="B4" s="142"/>
      <c r="C4" s="142"/>
      <c r="D4" s="142"/>
      <c r="E4" s="142"/>
      <c r="F4" s="142"/>
      <c r="G4" s="142"/>
      <c r="H4" s="142"/>
      <c r="I4" s="142"/>
    </row>
    <row r="5" spans="1:26" ht="15" customHeight="1">
      <c r="A5" s="142"/>
      <c r="B5" s="142"/>
      <c r="C5" s="142"/>
      <c r="D5" s="142"/>
      <c r="E5" s="142"/>
      <c r="F5" s="142"/>
      <c r="G5" s="142"/>
      <c r="H5" s="142"/>
      <c r="I5" s="142"/>
    </row>
    <row r="6" spans="1:26">
      <c r="A6" s="32"/>
      <c r="B6" s="32"/>
      <c r="C6" s="32"/>
      <c r="D6" s="32"/>
      <c r="E6" s="32"/>
      <c r="F6" s="32"/>
      <c r="G6" s="32"/>
      <c r="H6" s="32"/>
      <c r="I6" s="32"/>
    </row>
    <row r="7" spans="1:26" ht="18.75">
      <c r="A7" s="3" t="s">
        <v>3</v>
      </c>
    </row>
    <row r="8" spans="1:26" ht="15.75">
      <c r="A8" s="5" t="s">
        <v>882</v>
      </c>
    </row>
    <row r="10" spans="1:26" ht="15.75">
      <c r="A10" s="6" t="s">
        <v>883</v>
      </c>
    </row>
    <row r="11" spans="1:26">
      <c r="A11" s="4" t="s">
        <v>884</v>
      </c>
    </row>
    <row r="13" spans="1:26" ht="15.75">
      <c r="A13" s="6" t="s">
        <v>11</v>
      </c>
    </row>
    <row r="14" spans="1:26">
      <c r="A14" s="34" t="s">
        <v>885</v>
      </c>
    </row>
    <row r="15" spans="1:26" ht="15" customHeight="1">
      <c r="A15" s="147" t="s">
        <v>886</v>
      </c>
      <c r="B15" s="144"/>
      <c r="C15" s="144"/>
      <c r="D15" s="145"/>
      <c r="E15" s="16" t="s">
        <v>887</v>
      </c>
      <c r="F15" s="147" t="s">
        <v>16</v>
      </c>
      <c r="G15" s="145"/>
      <c r="H15" s="67"/>
      <c r="I15" s="67"/>
      <c r="J15" s="67"/>
      <c r="K15" s="67"/>
      <c r="L15" s="67"/>
      <c r="M15" s="67"/>
      <c r="N15" s="67"/>
      <c r="O15" s="67"/>
      <c r="P15" s="67"/>
      <c r="Q15" s="67"/>
      <c r="R15" s="67"/>
      <c r="S15" s="67"/>
      <c r="T15" s="67"/>
      <c r="U15" s="67"/>
      <c r="V15" s="67"/>
      <c r="W15" s="67"/>
      <c r="X15" s="67"/>
      <c r="Y15" s="67"/>
      <c r="Z15" s="67"/>
    </row>
    <row r="16" spans="1:26" ht="15" customHeight="1">
      <c r="A16" s="9">
        <v>42</v>
      </c>
      <c r="B16" s="9">
        <v>45</v>
      </c>
      <c r="C16" s="9">
        <v>20</v>
      </c>
      <c r="D16" s="9">
        <v>22</v>
      </c>
      <c r="E16" s="10">
        <f t="shared" ref="E16:E19" si="0">_xlfn.STDEV.S(A16:D16)</f>
        <v>13.073510112692254</v>
      </c>
      <c r="F16" s="146" t="s">
        <v>888</v>
      </c>
      <c r="G16" s="145"/>
    </row>
    <row r="17" spans="1:7" ht="15" customHeight="1">
      <c r="A17" s="9">
        <v>27</v>
      </c>
      <c r="B17" s="9">
        <v>10</v>
      </c>
      <c r="C17" s="9">
        <v>34</v>
      </c>
      <c r="D17" s="9">
        <v>50</v>
      </c>
      <c r="E17" s="10">
        <f t="shared" si="0"/>
        <v>16.580611166861935</v>
      </c>
      <c r="F17" s="146" t="s">
        <v>889</v>
      </c>
      <c r="G17" s="145"/>
    </row>
    <row r="18" spans="1:7" ht="15" customHeight="1">
      <c r="A18" s="9">
        <v>26</v>
      </c>
      <c r="B18" s="9">
        <v>32</v>
      </c>
      <c r="C18" s="9">
        <v>11</v>
      </c>
      <c r="D18" s="9">
        <v>26</v>
      </c>
      <c r="E18" s="10">
        <f t="shared" si="0"/>
        <v>8.9582364335844584</v>
      </c>
      <c r="F18" s="146" t="s">
        <v>890</v>
      </c>
      <c r="G18" s="145"/>
    </row>
    <row r="19" spans="1:7" ht="15" customHeight="1">
      <c r="A19" s="9">
        <v>42</v>
      </c>
      <c r="B19" s="9">
        <v>40</v>
      </c>
      <c r="C19" s="9">
        <v>47</v>
      </c>
      <c r="D19" s="9">
        <v>47</v>
      </c>
      <c r="E19" s="10">
        <f t="shared" si="0"/>
        <v>3.5590260840104371</v>
      </c>
      <c r="F19" s="146" t="s">
        <v>891</v>
      </c>
      <c r="G19" s="145"/>
    </row>
    <row r="20" spans="1:7" ht="15.75">
      <c r="A20" s="6"/>
      <c r="B20" s="30"/>
      <c r="C20" s="30"/>
    </row>
    <row r="21" spans="1:7" ht="15.75" customHeight="1">
      <c r="A21" s="6" t="s">
        <v>27</v>
      </c>
    </row>
    <row r="22" spans="1:7" ht="15.75" customHeight="1">
      <c r="A22" s="34" t="s">
        <v>885</v>
      </c>
    </row>
    <row r="23" spans="1:7" ht="15" customHeight="1">
      <c r="A23" s="147" t="s">
        <v>886</v>
      </c>
      <c r="B23" s="144"/>
      <c r="C23" s="144"/>
      <c r="D23" s="145"/>
      <c r="E23" s="13" t="s">
        <v>49</v>
      </c>
    </row>
    <row r="24" spans="1:7" ht="15.75" customHeight="1">
      <c r="A24" s="9">
        <v>7</v>
      </c>
      <c r="B24" s="9">
        <v>7</v>
      </c>
      <c r="C24" s="9">
        <v>2</v>
      </c>
      <c r="D24" s="9">
        <v>3</v>
      </c>
      <c r="E24" s="9">
        <f t="shared" ref="E24:E27" si="1">_xlfn.STDEV.S(A24:D24)</f>
        <v>2.6299556396765835</v>
      </c>
    </row>
    <row r="25" spans="1:7" ht="15.75" customHeight="1">
      <c r="A25" s="9">
        <v>1</v>
      </c>
      <c r="B25" s="9">
        <v>2</v>
      </c>
      <c r="C25" s="9">
        <v>1</v>
      </c>
      <c r="D25" s="9">
        <v>6</v>
      </c>
      <c r="E25" s="9">
        <f t="shared" si="1"/>
        <v>2.3804761428476167</v>
      </c>
    </row>
    <row r="26" spans="1:7" ht="15.75" customHeight="1">
      <c r="A26" s="9">
        <v>5</v>
      </c>
      <c r="B26" s="9">
        <v>8</v>
      </c>
      <c r="C26" s="9">
        <v>8</v>
      </c>
      <c r="D26" s="9">
        <v>6</v>
      </c>
      <c r="E26" s="9">
        <f t="shared" si="1"/>
        <v>1.5</v>
      </c>
    </row>
    <row r="27" spans="1:7" ht="15.75" customHeight="1">
      <c r="A27" s="9">
        <v>5</v>
      </c>
      <c r="B27" s="9">
        <v>8</v>
      </c>
      <c r="C27" s="9">
        <v>7</v>
      </c>
      <c r="D27" s="9">
        <v>4</v>
      </c>
      <c r="E27" s="9">
        <f t="shared" si="1"/>
        <v>1.8257418583505538</v>
      </c>
    </row>
    <row r="28" spans="1:7" ht="15.75" customHeight="1">
      <c r="A28" s="6"/>
      <c r="B28" s="30"/>
      <c r="C28" s="30"/>
    </row>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5:D15"/>
    <mergeCell ref="A23:D23"/>
    <mergeCell ref="A1:B1"/>
    <mergeCell ref="A4:I5"/>
    <mergeCell ref="F15:G15"/>
    <mergeCell ref="F16:G16"/>
    <mergeCell ref="F17:G17"/>
    <mergeCell ref="F18:G18"/>
    <mergeCell ref="F19:G19"/>
  </mergeCells>
  <pageMargins left="0.7" right="0.7" top="0.75" bottom="0.75" header="0" footer="0"/>
  <pageSetup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B1000"/>
  <sheetViews>
    <sheetView showGridLines="0" workbookViewId="0"/>
  </sheetViews>
  <sheetFormatPr defaultColWidth="14.42578125" defaultRowHeight="15" customHeight="1"/>
  <cols>
    <col min="1" max="1" width="12.85546875" customWidth="1"/>
    <col min="2" max="2" width="12.7109375" customWidth="1"/>
    <col min="3" max="4" width="13.28515625" customWidth="1"/>
    <col min="5" max="7" width="29.42578125" customWidth="1"/>
    <col min="8" max="8" width="14.7109375" customWidth="1"/>
    <col min="9" max="9" width="13.5703125" customWidth="1"/>
    <col min="10" max="10" width="11.5703125" customWidth="1"/>
    <col min="11" max="11" width="12" customWidth="1"/>
    <col min="12" max="12" width="12.140625" customWidth="1"/>
    <col min="13" max="13" width="11.28515625" customWidth="1"/>
    <col min="14" max="14" width="10.140625" customWidth="1"/>
    <col min="15" max="28" width="8.7109375" customWidth="1"/>
  </cols>
  <sheetData>
    <row r="1" spans="1:28" ht="31.5">
      <c r="A1" s="161" t="s">
        <v>892</v>
      </c>
      <c r="B1" s="149"/>
      <c r="C1" s="31"/>
      <c r="D1" s="31"/>
      <c r="E1" s="2"/>
      <c r="F1" s="2"/>
      <c r="G1" s="2"/>
      <c r="H1" s="2"/>
      <c r="I1" s="2"/>
      <c r="J1" s="2"/>
      <c r="K1" s="2"/>
      <c r="L1" s="2"/>
      <c r="M1" s="2"/>
      <c r="N1" s="2"/>
    </row>
    <row r="3" spans="1:28" ht="18.75">
      <c r="A3" s="3" t="s">
        <v>1</v>
      </c>
    </row>
    <row r="4" spans="1:28" ht="15" customHeight="1">
      <c r="A4" s="162" t="s">
        <v>893</v>
      </c>
      <c r="B4" s="142"/>
      <c r="C4" s="142"/>
      <c r="D4" s="142"/>
      <c r="E4" s="142"/>
      <c r="F4" s="142"/>
      <c r="G4" s="142"/>
      <c r="H4" s="142"/>
      <c r="I4" s="142"/>
      <c r="J4" s="142"/>
      <c r="K4" s="142"/>
      <c r="L4" s="142"/>
    </row>
    <row r="5" spans="1:28" ht="15" customHeight="1">
      <c r="A5" s="142"/>
      <c r="B5" s="142"/>
      <c r="C5" s="142"/>
      <c r="D5" s="142"/>
      <c r="E5" s="142"/>
      <c r="F5" s="142"/>
      <c r="G5" s="142"/>
      <c r="H5" s="142"/>
      <c r="I5" s="142"/>
      <c r="J5" s="142"/>
      <c r="K5" s="142"/>
      <c r="L5" s="142"/>
    </row>
    <row r="6" spans="1:28" ht="15" customHeight="1">
      <c r="A6" s="142"/>
      <c r="B6" s="142"/>
      <c r="C6" s="142"/>
      <c r="D6" s="142"/>
      <c r="E6" s="142"/>
      <c r="F6" s="142"/>
      <c r="G6" s="142"/>
      <c r="H6" s="142"/>
      <c r="I6" s="142"/>
      <c r="J6" s="142"/>
      <c r="K6" s="142"/>
      <c r="L6" s="142"/>
    </row>
    <row r="7" spans="1:28">
      <c r="A7" s="32"/>
      <c r="B7" s="32"/>
      <c r="C7" s="32"/>
      <c r="D7" s="32"/>
      <c r="E7" s="32"/>
      <c r="F7" s="32"/>
      <c r="G7" s="32"/>
      <c r="H7" s="32"/>
      <c r="I7" s="32"/>
      <c r="J7" s="32"/>
      <c r="K7" s="32"/>
      <c r="L7" s="32"/>
    </row>
    <row r="8" spans="1:28" ht="18.75">
      <c r="A8" s="3" t="s">
        <v>3</v>
      </c>
    </row>
    <row r="9" spans="1:28" ht="15.75">
      <c r="A9" s="5" t="s">
        <v>894</v>
      </c>
    </row>
    <row r="11" spans="1:28" ht="15.75">
      <c r="A11" s="6" t="s">
        <v>895</v>
      </c>
    </row>
    <row r="12" spans="1:28">
      <c r="A12" s="4" t="s">
        <v>896</v>
      </c>
    </row>
    <row r="14" spans="1:28" ht="15.75">
      <c r="A14" s="6" t="s">
        <v>11</v>
      </c>
    </row>
    <row r="15" spans="1:28">
      <c r="A15" s="34" t="s">
        <v>897</v>
      </c>
    </row>
    <row r="16" spans="1:28" ht="15" customHeight="1">
      <c r="A16" s="13" t="s">
        <v>898</v>
      </c>
      <c r="B16" s="13" t="s">
        <v>899</v>
      </c>
      <c r="C16" s="67"/>
      <c r="D16" s="67"/>
      <c r="E16" s="13" t="s">
        <v>900</v>
      </c>
      <c r="F16" s="13"/>
      <c r="G16" s="13"/>
      <c r="H16" s="147" t="s">
        <v>16</v>
      </c>
      <c r="I16" s="145"/>
      <c r="J16" s="67"/>
      <c r="K16" s="67"/>
      <c r="L16" s="67"/>
      <c r="M16" s="67"/>
      <c r="N16" s="67"/>
      <c r="O16" s="67"/>
      <c r="P16" s="67"/>
      <c r="Q16" s="67"/>
      <c r="R16" s="67"/>
      <c r="S16" s="67"/>
      <c r="T16" s="67"/>
      <c r="U16" s="67"/>
      <c r="V16" s="67"/>
      <c r="W16" s="67"/>
      <c r="X16" s="67"/>
      <c r="Y16" s="67"/>
      <c r="Z16" s="67"/>
      <c r="AA16" s="67"/>
      <c r="AB16" s="67"/>
    </row>
    <row r="17" spans="1:9" ht="15" customHeight="1">
      <c r="A17" s="9">
        <v>1</v>
      </c>
      <c r="B17" s="9">
        <v>5</v>
      </c>
      <c r="E17" s="9">
        <f>CORREL(A17:A26,B17:B26)</f>
        <v>0.99302351494545493</v>
      </c>
      <c r="F17" s="9"/>
      <c r="G17" s="9"/>
      <c r="H17" s="146" t="s">
        <v>901</v>
      </c>
      <c r="I17" s="145"/>
    </row>
    <row r="18" spans="1:9" ht="15" customHeight="1">
      <c r="A18" s="9">
        <v>2</v>
      </c>
      <c r="B18" s="9">
        <v>14</v>
      </c>
    </row>
    <row r="19" spans="1:9" ht="15" customHeight="1">
      <c r="A19" s="9">
        <v>3</v>
      </c>
      <c r="B19" s="9">
        <v>15</v>
      </c>
    </row>
    <row r="20" spans="1:9" ht="15" customHeight="1">
      <c r="A20" s="9">
        <v>4</v>
      </c>
      <c r="B20" s="9">
        <v>20</v>
      </c>
    </row>
    <row r="21" spans="1:9" ht="15.75" customHeight="1">
      <c r="A21" s="9">
        <v>5</v>
      </c>
      <c r="B21" s="9">
        <v>24</v>
      </c>
      <c r="C21" s="30"/>
      <c r="D21" s="30"/>
    </row>
    <row r="22" spans="1:9" ht="15.75" customHeight="1">
      <c r="A22" s="9">
        <v>6</v>
      </c>
      <c r="B22" s="9">
        <v>30</v>
      </c>
    </row>
    <row r="23" spans="1:9" ht="15.75" customHeight="1">
      <c r="A23" s="9">
        <v>7</v>
      </c>
      <c r="B23" s="9">
        <v>35</v>
      </c>
    </row>
    <row r="24" spans="1:9" ht="15.75" customHeight="1">
      <c r="A24" s="9">
        <v>8</v>
      </c>
      <c r="B24" s="9">
        <v>38</v>
      </c>
    </row>
    <row r="25" spans="1:9" ht="15.75" customHeight="1">
      <c r="A25" s="9">
        <v>9</v>
      </c>
      <c r="B25" s="9">
        <v>40</v>
      </c>
    </row>
    <row r="26" spans="1:9" ht="15.75" customHeight="1">
      <c r="A26" s="9">
        <v>10</v>
      </c>
      <c r="B26" s="9">
        <v>45</v>
      </c>
    </row>
    <row r="27" spans="1:9" ht="15.75" customHeight="1"/>
    <row r="28" spans="1:9" ht="15.75" customHeight="1">
      <c r="A28" s="6" t="s">
        <v>27</v>
      </c>
    </row>
    <row r="29" spans="1:9" ht="15.75" customHeight="1">
      <c r="A29" s="34" t="s">
        <v>902</v>
      </c>
    </row>
    <row r="30" spans="1:9" ht="15.75" customHeight="1">
      <c r="A30" s="13" t="s">
        <v>898</v>
      </c>
      <c r="B30" s="13" t="s">
        <v>903</v>
      </c>
    </row>
    <row r="31" spans="1:9" ht="15.75" customHeight="1">
      <c r="A31" s="9">
        <v>1</v>
      </c>
      <c r="B31" s="9">
        <v>20</v>
      </c>
      <c r="D31" s="69" t="s">
        <v>900</v>
      </c>
      <c r="E31" s="70" t="s">
        <v>16</v>
      </c>
      <c r="F31" s="4"/>
      <c r="G31" s="4"/>
    </row>
    <row r="32" spans="1:9" ht="15.75" customHeight="1">
      <c r="A32" s="9">
        <v>2</v>
      </c>
      <c r="B32" s="9">
        <v>35</v>
      </c>
      <c r="D32" s="4">
        <f>CORREL(A31:A40,B31:B40)</f>
        <v>0.98264443648448419</v>
      </c>
      <c r="E32" s="71" t="e">
        <f ca="1">_xludf.FORMULATEXT(D32)</f>
        <v>#NAME?</v>
      </c>
      <c r="F32" s="71"/>
      <c r="G32" s="71"/>
    </row>
    <row r="33" spans="1:2" ht="15.75" customHeight="1">
      <c r="A33" s="9">
        <v>3</v>
      </c>
      <c r="B33" s="9">
        <v>45</v>
      </c>
    </row>
    <row r="34" spans="1:2" ht="15.75" customHeight="1">
      <c r="A34" s="9">
        <v>4</v>
      </c>
      <c r="B34" s="9">
        <v>60</v>
      </c>
    </row>
    <row r="35" spans="1:2" ht="15.75" customHeight="1">
      <c r="A35" s="9">
        <v>5</v>
      </c>
      <c r="B35" s="9">
        <v>80</v>
      </c>
    </row>
    <row r="36" spans="1:2" ht="15.75" customHeight="1">
      <c r="A36" s="9">
        <v>6</v>
      </c>
      <c r="B36" s="9">
        <v>100</v>
      </c>
    </row>
    <row r="37" spans="1:2" ht="15.75" customHeight="1">
      <c r="A37" s="9">
        <v>7</v>
      </c>
      <c r="B37" s="9">
        <v>120</v>
      </c>
    </row>
    <row r="38" spans="1:2" ht="15.75" customHeight="1">
      <c r="A38" s="9">
        <v>8</v>
      </c>
      <c r="B38" s="9">
        <v>122</v>
      </c>
    </row>
    <row r="39" spans="1:2" ht="15.75" customHeight="1">
      <c r="A39" s="9">
        <v>9</v>
      </c>
      <c r="B39" s="9">
        <v>125</v>
      </c>
    </row>
    <row r="40" spans="1:2" ht="15.75" customHeight="1">
      <c r="A40" s="9">
        <v>10</v>
      </c>
      <c r="B40" s="9">
        <v>135</v>
      </c>
    </row>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4:L6"/>
    <mergeCell ref="H16:I16"/>
    <mergeCell ref="H17:I17"/>
  </mergeCells>
  <pageMargins left="0.7" right="0.7" top="0.75" bottom="0.75" header="0" footer="0"/>
  <pageSetup orientation="portrait"/>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Z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 min="12" max="26" width="8.7109375" customWidth="1"/>
  </cols>
  <sheetData>
    <row r="1" spans="1:26" ht="31.5">
      <c r="A1" s="161" t="s">
        <v>904</v>
      </c>
      <c r="B1" s="149"/>
      <c r="C1" s="31"/>
      <c r="D1" s="2"/>
      <c r="E1" s="2"/>
      <c r="F1" s="2"/>
      <c r="G1" s="2"/>
      <c r="H1" s="2"/>
      <c r="I1" s="2"/>
      <c r="J1" s="2"/>
      <c r="K1" s="2"/>
    </row>
    <row r="3" spans="1:26" ht="18.75">
      <c r="A3" s="3" t="s">
        <v>1</v>
      </c>
    </row>
    <row r="4" spans="1:26" ht="15" customHeight="1">
      <c r="A4" s="162" t="s">
        <v>905</v>
      </c>
      <c r="B4" s="142"/>
      <c r="C4" s="142"/>
      <c r="D4" s="142"/>
      <c r="E4" s="142"/>
      <c r="F4" s="142"/>
      <c r="G4" s="142"/>
      <c r="H4" s="142"/>
      <c r="I4" s="142"/>
    </row>
    <row r="5" spans="1:26">
      <c r="A5" s="32"/>
      <c r="B5" s="32"/>
      <c r="C5" s="32"/>
      <c r="D5" s="32"/>
      <c r="E5" s="32"/>
      <c r="F5" s="32"/>
      <c r="G5" s="32"/>
      <c r="H5" s="32"/>
      <c r="I5" s="32"/>
    </row>
    <row r="6" spans="1:26" ht="18.75">
      <c r="A6" s="3" t="s">
        <v>3</v>
      </c>
    </row>
    <row r="7" spans="1:26" ht="15.75">
      <c r="A7" s="5" t="s">
        <v>906</v>
      </c>
    </row>
    <row r="9" spans="1:26" ht="15.75">
      <c r="A9" s="6" t="s">
        <v>907</v>
      </c>
    </row>
    <row r="10" spans="1:26">
      <c r="A10" s="4" t="s">
        <v>908</v>
      </c>
    </row>
    <row r="12" spans="1:26" ht="15.75">
      <c r="A12" s="6" t="s">
        <v>11</v>
      </c>
    </row>
    <row r="13" spans="1:26">
      <c r="A13" s="34" t="s">
        <v>909</v>
      </c>
    </row>
    <row r="14" spans="1:26" ht="15" customHeight="1">
      <c r="A14" s="13" t="s">
        <v>910</v>
      </c>
      <c r="B14" s="67"/>
      <c r="C14" s="13" t="s">
        <v>911</v>
      </c>
      <c r="D14" s="147" t="s">
        <v>16</v>
      </c>
      <c r="E14" s="145"/>
      <c r="F14" s="67"/>
      <c r="G14" s="13" t="s">
        <v>912</v>
      </c>
      <c r="H14" s="67"/>
      <c r="I14" s="13" t="s">
        <v>911</v>
      </c>
      <c r="J14" s="147" t="s">
        <v>16</v>
      </c>
      <c r="K14" s="145"/>
      <c r="L14" s="67"/>
      <c r="M14" s="67"/>
      <c r="N14" s="67"/>
      <c r="O14" s="67"/>
      <c r="P14" s="67"/>
      <c r="Q14" s="67"/>
      <c r="R14" s="67"/>
      <c r="S14" s="67"/>
      <c r="T14" s="67"/>
      <c r="U14" s="67"/>
      <c r="V14" s="67"/>
      <c r="W14" s="67"/>
      <c r="X14" s="67"/>
      <c r="Y14" s="67"/>
      <c r="Z14" s="67"/>
    </row>
    <row r="15" spans="1:26" ht="15" customHeight="1">
      <c r="A15" s="9">
        <v>89</v>
      </c>
      <c r="C15" s="9">
        <f>MEDIAN(A15:A35)</f>
        <v>84</v>
      </c>
      <c r="D15" s="146" t="s">
        <v>913</v>
      </c>
      <c r="E15" s="145"/>
      <c r="G15" s="9">
        <v>94</v>
      </c>
      <c r="I15" s="9">
        <f>MEDIAN(G15:G34)</f>
        <v>82</v>
      </c>
      <c r="J15" s="146" t="s">
        <v>914</v>
      </c>
      <c r="K15" s="145"/>
    </row>
    <row r="16" spans="1:26" ht="15" customHeight="1">
      <c r="A16" s="9">
        <v>91</v>
      </c>
      <c r="G16" s="9">
        <v>57</v>
      </c>
    </row>
    <row r="17" spans="1:7" ht="15" customHeight="1">
      <c r="A17" s="9">
        <v>65</v>
      </c>
      <c r="C17" s="150" t="s">
        <v>915</v>
      </c>
      <c r="D17" s="151"/>
      <c r="E17" s="152"/>
      <c r="G17" s="9">
        <v>80</v>
      </c>
    </row>
    <row r="18" spans="1:7" ht="15" customHeight="1">
      <c r="A18" s="9">
        <v>59</v>
      </c>
      <c r="C18" s="153"/>
      <c r="D18" s="142"/>
      <c r="E18" s="154"/>
      <c r="G18" s="9">
        <v>91</v>
      </c>
    </row>
    <row r="19" spans="1:7">
      <c r="A19" s="9">
        <v>60</v>
      </c>
      <c r="B19" s="30"/>
      <c r="C19" s="153"/>
      <c r="D19" s="142"/>
      <c r="E19" s="154"/>
      <c r="G19" s="9">
        <v>97</v>
      </c>
    </row>
    <row r="20" spans="1:7">
      <c r="A20" s="9">
        <v>86</v>
      </c>
      <c r="C20" s="153"/>
      <c r="D20" s="142"/>
      <c r="E20" s="154"/>
      <c r="G20" s="9">
        <v>84</v>
      </c>
    </row>
    <row r="21" spans="1:7" ht="15.75" customHeight="1">
      <c r="A21" s="9">
        <v>51</v>
      </c>
      <c r="C21" s="153"/>
      <c r="D21" s="142"/>
      <c r="E21" s="154"/>
      <c r="G21" s="9">
        <v>79</v>
      </c>
    </row>
    <row r="22" spans="1:7" ht="15.75" customHeight="1">
      <c r="A22" s="9">
        <v>95</v>
      </c>
      <c r="C22" s="153"/>
      <c r="D22" s="142"/>
      <c r="E22" s="154"/>
      <c r="G22" s="9">
        <v>53</v>
      </c>
    </row>
    <row r="23" spans="1:7" ht="15.75" customHeight="1">
      <c r="A23" s="9">
        <v>84</v>
      </c>
      <c r="C23" s="153"/>
      <c r="D23" s="142"/>
      <c r="E23" s="154"/>
      <c r="G23" s="9">
        <v>50</v>
      </c>
    </row>
    <row r="24" spans="1:7" ht="15.75" customHeight="1">
      <c r="A24" s="9">
        <v>88</v>
      </c>
      <c r="C24" s="153"/>
      <c r="D24" s="142"/>
      <c r="E24" s="154"/>
      <c r="G24" s="9">
        <v>53</v>
      </c>
    </row>
    <row r="25" spans="1:7" ht="15.75" customHeight="1">
      <c r="A25" s="9">
        <v>92</v>
      </c>
      <c r="C25" s="155"/>
      <c r="D25" s="156"/>
      <c r="E25" s="157"/>
      <c r="G25" s="9">
        <v>78</v>
      </c>
    </row>
    <row r="26" spans="1:7" ht="15.75" customHeight="1">
      <c r="A26" s="9">
        <v>85</v>
      </c>
      <c r="G26" s="9">
        <v>54</v>
      </c>
    </row>
    <row r="27" spans="1:7" ht="15.75" customHeight="1">
      <c r="A27" s="9">
        <v>74</v>
      </c>
      <c r="G27" s="9">
        <v>85</v>
      </c>
    </row>
    <row r="28" spans="1:7" ht="15.75" customHeight="1">
      <c r="A28" s="9">
        <v>76</v>
      </c>
      <c r="G28" s="9">
        <v>54</v>
      </c>
    </row>
    <row r="29" spans="1:7" ht="15.75" customHeight="1">
      <c r="A29" s="9">
        <v>60</v>
      </c>
      <c r="G29" s="9">
        <v>98</v>
      </c>
    </row>
    <row r="30" spans="1:7" ht="15.75" customHeight="1">
      <c r="A30" s="9">
        <v>65</v>
      </c>
      <c r="G30" s="9">
        <v>92</v>
      </c>
    </row>
    <row r="31" spans="1:7" ht="15.75" customHeight="1">
      <c r="A31" s="9">
        <v>93</v>
      </c>
      <c r="G31" s="9">
        <v>84</v>
      </c>
    </row>
    <row r="32" spans="1:7" ht="15.75" customHeight="1">
      <c r="A32" s="9">
        <v>98</v>
      </c>
      <c r="G32" s="9">
        <v>71</v>
      </c>
    </row>
    <row r="33" spans="1:7" ht="15.75" customHeight="1">
      <c r="A33" s="9">
        <v>64</v>
      </c>
      <c r="G33" s="9">
        <v>100</v>
      </c>
    </row>
    <row r="34" spans="1:7" ht="15.75" customHeight="1">
      <c r="A34" s="9">
        <v>77</v>
      </c>
      <c r="G34" s="9">
        <v>94</v>
      </c>
    </row>
    <row r="35" spans="1:7" ht="15.75" customHeight="1">
      <c r="A35" s="9">
        <v>89</v>
      </c>
    </row>
    <row r="36" spans="1:7" ht="15.75" customHeight="1"/>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7:E25"/>
    <mergeCell ref="A1:B1"/>
    <mergeCell ref="A4:I4"/>
    <mergeCell ref="D14:E14"/>
    <mergeCell ref="J14:K14"/>
    <mergeCell ref="D15:E15"/>
    <mergeCell ref="J15:K15"/>
  </mergeCells>
  <pageMargins left="0.7" right="0.7" top="0.75" bottom="0.75" header="0" footer="0"/>
  <pageSetup orientation="portrait"/>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00"/>
  <sheetViews>
    <sheetView showGridLines="0" workbookViewId="0"/>
  </sheetViews>
  <sheetFormatPr defaultColWidth="14.42578125" defaultRowHeight="15" customHeight="1"/>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1.5">
      <c r="A1" s="161" t="s">
        <v>916</v>
      </c>
      <c r="B1" s="149"/>
      <c r="C1" s="149"/>
      <c r="D1" s="149"/>
      <c r="E1" s="2"/>
      <c r="F1" s="2"/>
      <c r="G1" s="2"/>
      <c r="H1" s="2"/>
      <c r="I1" s="2"/>
      <c r="J1" s="2"/>
      <c r="K1" s="2"/>
    </row>
    <row r="3" spans="1:11" ht="18.75">
      <c r="A3" s="3" t="s">
        <v>917</v>
      </c>
    </row>
    <row r="4" spans="1:11" ht="15" customHeight="1">
      <c r="A4" s="162" t="s">
        <v>918</v>
      </c>
      <c r="B4" s="142"/>
      <c r="C4" s="142"/>
      <c r="D4" s="142"/>
      <c r="E4" s="142"/>
      <c r="F4" s="142"/>
      <c r="G4" s="142"/>
      <c r="H4" s="142"/>
      <c r="I4" s="142"/>
    </row>
    <row r="5" spans="1:11">
      <c r="A5" s="32"/>
      <c r="B5" s="32"/>
      <c r="C5" s="32"/>
      <c r="D5" s="32"/>
      <c r="E5" s="32"/>
      <c r="F5" s="32"/>
      <c r="G5" s="32"/>
      <c r="H5" s="32"/>
      <c r="I5" s="32"/>
    </row>
    <row r="6" spans="1:11" ht="18.75">
      <c r="A6" s="3" t="s">
        <v>3</v>
      </c>
      <c r="B6" s="32"/>
      <c r="C6" s="32"/>
      <c r="D6" s="32"/>
      <c r="E6" s="32"/>
      <c r="F6" s="32"/>
      <c r="G6" s="32"/>
      <c r="H6" s="32"/>
      <c r="I6" s="32"/>
    </row>
    <row r="7" spans="1:11" ht="15.75">
      <c r="A7" s="5" t="s">
        <v>919</v>
      </c>
      <c r="B7" s="32"/>
      <c r="C7" s="32"/>
      <c r="D7" s="32"/>
      <c r="E7" s="32"/>
      <c r="F7" s="32"/>
      <c r="G7" s="32"/>
      <c r="H7" s="32"/>
      <c r="I7" s="32"/>
    </row>
    <row r="8" spans="1:11">
      <c r="A8" s="32"/>
      <c r="B8" s="32"/>
      <c r="C8" s="32"/>
      <c r="D8" s="32"/>
      <c r="E8" s="32"/>
      <c r="F8" s="32"/>
      <c r="G8" s="32"/>
      <c r="H8" s="32"/>
      <c r="I8" s="32"/>
    </row>
    <row r="9" spans="1:11">
      <c r="A9" s="72" t="s">
        <v>920</v>
      </c>
      <c r="B9" s="32"/>
      <c r="C9" s="32"/>
      <c r="D9" s="32"/>
      <c r="E9" s="32"/>
      <c r="F9" s="32"/>
      <c r="G9" s="32"/>
      <c r="H9" s="32"/>
      <c r="I9" s="32"/>
    </row>
    <row r="10" spans="1:11">
      <c r="A10" s="32" t="s">
        <v>921</v>
      </c>
      <c r="B10" s="32"/>
      <c r="C10" s="32"/>
      <c r="D10" s="32"/>
      <c r="E10" s="32"/>
      <c r="F10" s="32"/>
      <c r="G10" s="32"/>
      <c r="H10" s="32"/>
      <c r="I10" s="32"/>
    </row>
    <row r="11" spans="1:11">
      <c r="A11" s="32"/>
      <c r="B11" s="32"/>
      <c r="C11" s="32"/>
      <c r="D11" s="32"/>
      <c r="E11" s="32"/>
      <c r="F11" s="32"/>
      <c r="G11" s="32"/>
      <c r="H11" s="32"/>
      <c r="I11" s="32"/>
    </row>
    <row r="12" spans="1:11">
      <c r="A12" s="72" t="s">
        <v>922</v>
      </c>
      <c r="B12" s="32"/>
      <c r="C12" s="32"/>
      <c r="D12" s="32"/>
      <c r="E12" s="32"/>
      <c r="F12" s="32"/>
      <c r="G12" s="32"/>
      <c r="H12" s="32"/>
      <c r="I12" s="32"/>
    </row>
    <row r="13" spans="1:11">
      <c r="A13" s="73" t="s">
        <v>923</v>
      </c>
      <c r="B13" s="32"/>
      <c r="C13" s="32"/>
      <c r="D13" s="32"/>
      <c r="E13" s="32"/>
      <c r="F13" s="32"/>
      <c r="G13" s="32"/>
      <c r="H13" s="32"/>
      <c r="I13" s="32"/>
    </row>
    <row r="14" spans="1:11">
      <c r="A14" s="32"/>
      <c r="B14" s="32"/>
      <c r="C14" s="32"/>
      <c r="D14" s="32"/>
      <c r="E14" s="32"/>
      <c r="F14" s="32"/>
      <c r="G14" s="32"/>
      <c r="H14" s="32"/>
      <c r="I14" s="32"/>
    </row>
    <row r="15" spans="1:11">
      <c r="A15" s="72" t="s">
        <v>924</v>
      </c>
      <c r="B15" s="32"/>
      <c r="C15" s="32"/>
      <c r="D15" s="32"/>
      <c r="E15" s="32"/>
      <c r="F15" s="32"/>
      <c r="G15" s="32"/>
      <c r="H15" s="32"/>
      <c r="I15" s="32"/>
    </row>
    <row r="16" spans="1:11">
      <c r="A16" s="73" t="s">
        <v>925</v>
      </c>
      <c r="B16" s="32"/>
      <c r="C16" s="32"/>
      <c r="D16" s="32"/>
      <c r="E16" s="32"/>
      <c r="F16" s="32"/>
      <c r="G16" s="32"/>
      <c r="H16" s="32"/>
      <c r="I16" s="32"/>
    </row>
    <row r="17" spans="1:9">
      <c r="A17" s="32"/>
      <c r="B17" s="32"/>
      <c r="C17" s="32"/>
      <c r="D17" s="32"/>
      <c r="E17" s="32"/>
      <c r="F17" s="32"/>
      <c r="G17" s="32"/>
      <c r="H17" s="32"/>
      <c r="I17" s="32"/>
    </row>
    <row r="18" spans="1:9">
      <c r="A18" s="72" t="s">
        <v>926</v>
      </c>
      <c r="B18" s="32"/>
      <c r="C18" s="32"/>
      <c r="D18" s="32"/>
      <c r="E18" s="32"/>
      <c r="F18" s="32"/>
      <c r="G18" s="32"/>
      <c r="H18" s="32"/>
      <c r="I18" s="32"/>
    </row>
    <row r="19" spans="1:9">
      <c r="A19" s="141" t="s">
        <v>927</v>
      </c>
      <c r="B19" s="142"/>
      <c r="C19" s="142"/>
      <c r="D19" s="142"/>
      <c r="E19" s="142"/>
      <c r="F19" s="142"/>
      <c r="G19" s="142"/>
      <c r="H19" s="142"/>
      <c r="I19" s="32"/>
    </row>
    <row r="20" spans="1:9">
      <c r="A20" s="142"/>
      <c r="B20" s="142"/>
      <c r="C20" s="142"/>
      <c r="D20" s="142"/>
      <c r="E20" s="142"/>
      <c r="F20" s="142"/>
      <c r="G20" s="142"/>
      <c r="H20" s="142"/>
      <c r="I20" s="32"/>
    </row>
    <row r="21" spans="1:9" ht="15.75" customHeight="1">
      <c r="A21" s="7"/>
      <c r="B21" s="7"/>
      <c r="C21" s="7"/>
      <c r="D21" s="7"/>
      <c r="E21" s="7"/>
      <c r="F21" s="7"/>
      <c r="G21" s="7"/>
      <c r="H21" s="7"/>
      <c r="I21" s="32"/>
    </row>
    <row r="22" spans="1:9" ht="15.75" customHeight="1">
      <c r="A22" s="141" t="s">
        <v>928</v>
      </c>
      <c r="B22" s="142"/>
      <c r="C22" s="142"/>
      <c r="D22" s="142"/>
      <c r="E22" s="142"/>
      <c r="F22" s="142"/>
      <c r="G22" s="142"/>
      <c r="H22" s="142"/>
      <c r="I22" s="32"/>
    </row>
    <row r="23" spans="1:9" ht="15.75" customHeight="1">
      <c r="A23" s="142"/>
      <c r="B23" s="142"/>
      <c r="C23" s="142"/>
      <c r="D23" s="142"/>
      <c r="E23" s="142"/>
      <c r="F23" s="142"/>
      <c r="G23" s="142"/>
      <c r="H23" s="142"/>
      <c r="I23" s="32"/>
    </row>
    <row r="24" spans="1:9" ht="15.75" customHeight="1">
      <c r="A24" s="74" t="s">
        <v>920</v>
      </c>
      <c r="B24" s="75">
        <f>0.04/12</f>
        <v>3.3333333333333335E-3</v>
      </c>
      <c r="C24" s="73" t="s">
        <v>929</v>
      </c>
      <c r="D24" s="32"/>
      <c r="E24" s="32"/>
      <c r="F24" s="32"/>
      <c r="G24" s="32"/>
      <c r="H24" s="32"/>
      <c r="I24" s="32"/>
    </row>
    <row r="25" spans="1:9" ht="15.75" customHeight="1">
      <c r="A25" s="74" t="s">
        <v>930</v>
      </c>
      <c r="B25" s="53">
        <v>48</v>
      </c>
      <c r="C25" s="32"/>
      <c r="D25" s="32"/>
      <c r="E25" s="32"/>
      <c r="F25" s="32"/>
      <c r="G25" s="32"/>
      <c r="H25" s="32"/>
      <c r="I25" s="32"/>
    </row>
    <row r="26" spans="1:9" ht="15" customHeight="1">
      <c r="A26" s="74" t="s">
        <v>924</v>
      </c>
      <c r="B26" s="76">
        <v>80000</v>
      </c>
      <c r="C26" s="32"/>
      <c r="D26" s="180" t="s">
        <v>931</v>
      </c>
      <c r="E26" s="151"/>
      <c r="F26" s="151"/>
      <c r="G26" s="152"/>
      <c r="H26" s="32"/>
      <c r="I26" s="32"/>
    </row>
    <row r="27" spans="1:9" ht="15.75" customHeight="1">
      <c r="A27" s="77" t="s">
        <v>932</v>
      </c>
      <c r="B27" s="76">
        <f>PMT(B24,B25,B26)</f>
        <v>-1806.3243713351985</v>
      </c>
      <c r="C27" s="32"/>
      <c r="D27" s="153"/>
      <c r="E27" s="142"/>
      <c r="F27" s="142"/>
      <c r="G27" s="154"/>
      <c r="H27" s="32"/>
      <c r="I27" s="32"/>
    </row>
    <row r="28" spans="1:9" ht="15.75" customHeight="1">
      <c r="A28" s="77" t="s">
        <v>16</v>
      </c>
      <c r="B28" s="165" t="s">
        <v>933</v>
      </c>
      <c r="C28" s="145"/>
      <c r="D28" s="155"/>
      <c r="E28" s="156"/>
      <c r="F28" s="156"/>
      <c r="G28" s="157"/>
      <c r="H28" s="32"/>
      <c r="I28" s="32"/>
    </row>
    <row r="29" spans="1:9" ht="15.75" customHeight="1">
      <c r="A29" s="32"/>
      <c r="B29" s="32"/>
      <c r="C29" s="32"/>
      <c r="D29" s="32"/>
      <c r="E29" s="32"/>
      <c r="F29" s="32"/>
      <c r="G29" s="32"/>
      <c r="H29" s="32"/>
      <c r="I29" s="32"/>
    </row>
    <row r="30" spans="1:9" ht="15.75" customHeight="1">
      <c r="A30" s="32"/>
      <c r="B30" s="32"/>
      <c r="C30" s="32"/>
      <c r="D30" s="32"/>
      <c r="E30" s="32"/>
      <c r="F30" s="32"/>
      <c r="G30" s="32"/>
      <c r="H30" s="32"/>
      <c r="I30" s="32"/>
    </row>
    <row r="31" spans="1:9" ht="15.75" customHeight="1">
      <c r="A31" s="3" t="s">
        <v>934</v>
      </c>
    </row>
    <row r="32" spans="1:9" ht="15.75" customHeight="1">
      <c r="A32" s="162" t="s">
        <v>935</v>
      </c>
      <c r="B32" s="142"/>
      <c r="C32" s="142"/>
      <c r="D32" s="142"/>
      <c r="E32" s="142"/>
      <c r="F32" s="142"/>
      <c r="G32" s="142"/>
      <c r="H32" s="142"/>
      <c r="I32" s="142"/>
    </row>
    <row r="33" spans="1:9" ht="15.75" customHeight="1">
      <c r="A33" s="32"/>
      <c r="B33" s="32"/>
      <c r="C33" s="32"/>
      <c r="D33" s="32"/>
      <c r="E33" s="32"/>
      <c r="F33" s="32"/>
      <c r="G33" s="32"/>
      <c r="H33" s="32"/>
      <c r="I33" s="32"/>
    </row>
    <row r="34" spans="1:9" ht="15.75" customHeight="1">
      <c r="A34" s="3" t="s">
        <v>3</v>
      </c>
      <c r="B34" s="32"/>
      <c r="C34" s="32"/>
      <c r="D34" s="32"/>
      <c r="E34" s="32"/>
      <c r="F34" s="32"/>
      <c r="G34" s="32"/>
      <c r="H34" s="32"/>
      <c r="I34" s="32"/>
    </row>
    <row r="35" spans="1:9" ht="15.75" customHeight="1">
      <c r="A35" s="5" t="s">
        <v>936</v>
      </c>
      <c r="B35" s="32"/>
      <c r="C35" s="32"/>
      <c r="D35" s="32"/>
      <c r="E35" s="32"/>
      <c r="F35" s="32"/>
      <c r="G35" s="32"/>
      <c r="H35" s="32"/>
      <c r="I35" s="32"/>
    </row>
    <row r="36" spans="1:9" ht="15.75" customHeight="1">
      <c r="A36" s="32"/>
      <c r="B36" s="32"/>
    </row>
    <row r="37" spans="1:9" ht="15.75" customHeight="1">
      <c r="A37" s="72" t="s">
        <v>920</v>
      </c>
      <c r="B37" s="32"/>
    </row>
    <row r="38" spans="1:9" ht="15.75" customHeight="1">
      <c r="A38" s="32" t="s">
        <v>921</v>
      </c>
      <c r="B38" s="32"/>
    </row>
    <row r="39" spans="1:9" ht="15.75" customHeight="1">
      <c r="A39" s="32"/>
      <c r="B39" s="32"/>
    </row>
    <row r="40" spans="1:9" ht="15.75" customHeight="1">
      <c r="A40" s="72" t="s">
        <v>932</v>
      </c>
      <c r="B40" s="32"/>
    </row>
    <row r="41" spans="1:9" ht="15.75" customHeight="1">
      <c r="A41" s="73" t="s">
        <v>937</v>
      </c>
      <c r="B41" s="32"/>
    </row>
    <row r="42" spans="1:9" ht="15.75" customHeight="1">
      <c r="A42" s="32"/>
      <c r="B42" s="32"/>
    </row>
    <row r="43" spans="1:9" ht="15.75" customHeight="1">
      <c r="A43" s="72" t="s">
        <v>924</v>
      </c>
      <c r="B43" s="32"/>
    </row>
    <row r="44" spans="1:9" ht="15.75" customHeight="1">
      <c r="A44" s="73" t="s">
        <v>925</v>
      </c>
      <c r="B44" s="32"/>
    </row>
    <row r="45" spans="1:9" ht="15.75" customHeight="1"/>
    <row r="46" spans="1:9" ht="15.75" customHeight="1">
      <c r="A46" s="72" t="s">
        <v>926</v>
      </c>
      <c r="B46" s="32"/>
      <c r="C46" s="32"/>
      <c r="D46" s="32"/>
      <c r="E46" s="32"/>
      <c r="F46" s="32"/>
      <c r="G46" s="32"/>
      <c r="H46" s="32"/>
    </row>
    <row r="47" spans="1:9" ht="15.75" customHeight="1">
      <c r="A47" s="141" t="s">
        <v>927</v>
      </c>
      <c r="B47" s="142"/>
      <c r="C47" s="142"/>
      <c r="D47" s="142"/>
      <c r="E47" s="142"/>
      <c r="F47" s="142"/>
      <c r="G47" s="142"/>
      <c r="H47" s="142"/>
    </row>
    <row r="48" spans="1:9" ht="15.75" customHeight="1">
      <c r="A48" s="142"/>
      <c r="B48" s="142"/>
      <c r="C48" s="142"/>
      <c r="D48" s="142"/>
      <c r="E48" s="142"/>
      <c r="F48" s="142"/>
      <c r="G48" s="142"/>
      <c r="H48" s="142"/>
    </row>
    <row r="49" spans="1:9" ht="15.75" customHeight="1"/>
    <row r="50" spans="1:9" ht="15.75" customHeight="1">
      <c r="A50" s="74" t="s">
        <v>920</v>
      </c>
      <c r="B50" s="75">
        <f>0.04/12</f>
        <v>3.3333333333333335E-3</v>
      </c>
      <c r="C50" s="73"/>
    </row>
    <row r="51" spans="1:9" ht="15.75" customHeight="1">
      <c r="A51" s="74" t="s">
        <v>932</v>
      </c>
      <c r="B51" s="76">
        <v>-1500</v>
      </c>
      <c r="C51" s="32"/>
      <c r="D51" s="160" t="s">
        <v>938</v>
      </c>
      <c r="E51" s="151"/>
      <c r="F51" s="151"/>
      <c r="G51" s="152"/>
    </row>
    <row r="52" spans="1:9" ht="15.75" customHeight="1">
      <c r="A52" s="74" t="s">
        <v>924</v>
      </c>
      <c r="B52" s="76">
        <v>80000</v>
      </c>
      <c r="C52" s="32"/>
      <c r="D52" s="155"/>
      <c r="E52" s="156"/>
      <c r="F52" s="156"/>
      <c r="G52" s="157"/>
    </row>
    <row r="53" spans="1:9" ht="15.75" customHeight="1">
      <c r="A53" s="77" t="s">
        <v>930</v>
      </c>
      <c r="B53" s="78">
        <f>NPER(B50,B51,B52)</f>
        <v>58.821191143328278</v>
      </c>
      <c r="C53" s="32"/>
    </row>
    <row r="54" spans="1:9" ht="15.75" customHeight="1">
      <c r="A54" s="77" t="s">
        <v>16</v>
      </c>
      <c r="B54" s="165" t="s">
        <v>939</v>
      </c>
      <c r="C54" s="145"/>
    </row>
    <row r="55" spans="1:9" ht="15.75" customHeight="1"/>
    <row r="56" spans="1:9" ht="15.75" customHeight="1"/>
    <row r="57" spans="1:9" ht="15.75" customHeight="1">
      <c r="A57" s="3" t="s">
        <v>940</v>
      </c>
    </row>
    <row r="58" spans="1:9" ht="15.75" customHeight="1">
      <c r="A58" s="162" t="s">
        <v>941</v>
      </c>
      <c r="B58" s="142"/>
      <c r="C58" s="142"/>
      <c r="D58" s="142"/>
      <c r="E58" s="142"/>
      <c r="F58" s="142"/>
      <c r="G58" s="142"/>
      <c r="H58" s="142"/>
      <c r="I58" s="142"/>
    </row>
    <row r="59" spans="1:9" ht="15.75" customHeight="1">
      <c r="A59" s="32"/>
      <c r="B59" s="32"/>
      <c r="C59" s="32"/>
      <c r="D59" s="32"/>
      <c r="E59" s="32"/>
      <c r="F59" s="32"/>
      <c r="G59" s="32"/>
      <c r="H59" s="32"/>
      <c r="I59" s="32"/>
    </row>
    <row r="60" spans="1:9" ht="15.75" customHeight="1">
      <c r="A60" s="3" t="s">
        <v>3</v>
      </c>
      <c r="B60" s="32"/>
      <c r="C60" s="32"/>
      <c r="D60" s="32"/>
      <c r="E60" s="32"/>
      <c r="F60" s="32"/>
      <c r="G60" s="32"/>
      <c r="H60" s="32"/>
      <c r="I60" s="32"/>
    </row>
    <row r="61" spans="1:9" ht="15.75" customHeight="1">
      <c r="A61" s="5" t="s">
        <v>942</v>
      </c>
      <c r="B61" s="32"/>
      <c r="C61" s="32"/>
      <c r="D61" s="32"/>
      <c r="E61" s="32"/>
      <c r="F61" s="32"/>
      <c r="G61" s="32"/>
      <c r="H61" s="32"/>
      <c r="I61" s="32"/>
    </row>
    <row r="62" spans="1:9" ht="15.75" customHeight="1">
      <c r="A62" s="32"/>
      <c r="B62" s="32"/>
    </row>
    <row r="63" spans="1:9" ht="15.75" customHeight="1">
      <c r="A63" s="72" t="s">
        <v>920</v>
      </c>
      <c r="B63" s="32"/>
    </row>
    <row r="64" spans="1:9" ht="15.75" customHeight="1">
      <c r="A64" s="32" t="s">
        <v>921</v>
      </c>
      <c r="B64" s="32"/>
    </row>
    <row r="65" spans="1:8" ht="15.75" customHeight="1">
      <c r="A65" s="32"/>
      <c r="B65" s="32"/>
    </row>
    <row r="66" spans="1:8" ht="15.75" customHeight="1">
      <c r="A66" s="72" t="s">
        <v>930</v>
      </c>
      <c r="B66" s="32"/>
    </row>
    <row r="67" spans="1:8" ht="15.75" customHeight="1">
      <c r="A67" s="73" t="s">
        <v>923</v>
      </c>
      <c r="B67" s="32"/>
    </row>
    <row r="68" spans="1:8" ht="15.75" customHeight="1">
      <c r="A68" s="32"/>
      <c r="B68" s="32"/>
    </row>
    <row r="69" spans="1:8" ht="15.75" customHeight="1">
      <c r="A69" s="72" t="s">
        <v>932</v>
      </c>
      <c r="B69" s="32"/>
    </row>
    <row r="70" spans="1:8" ht="15.75" customHeight="1">
      <c r="A70" s="73" t="s">
        <v>937</v>
      </c>
      <c r="B70" s="32"/>
    </row>
    <row r="71" spans="1:8" ht="15.75" customHeight="1"/>
    <row r="72" spans="1:8" ht="15.75" customHeight="1">
      <c r="A72" s="72" t="s">
        <v>926</v>
      </c>
      <c r="B72" s="32"/>
      <c r="C72" s="32"/>
      <c r="D72" s="32"/>
      <c r="E72" s="32"/>
      <c r="F72" s="32"/>
      <c r="G72" s="32"/>
      <c r="H72" s="32"/>
    </row>
    <row r="73" spans="1:8" ht="15.75" customHeight="1">
      <c r="A73" s="141" t="s">
        <v>927</v>
      </c>
      <c r="B73" s="142"/>
      <c r="C73" s="142"/>
      <c r="D73" s="142"/>
      <c r="E73" s="142"/>
      <c r="F73" s="142"/>
      <c r="G73" s="142"/>
      <c r="H73" s="142"/>
    </row>
    <row r="74" spans="1:8" ht="15.75" customHeight="1">
      <c r="A74" s="142"/>
      <c r="B74" s="142"/>
      <c r="C74" s="142"/>
      <c r="D74" s="142"/>
      <c r="E74" s="142"/>
      <c r="F74" s="142"/>
      <c r="G74" s="142"/>
      <c r="H74" s="142"/>
    </row>
    <row r="75" spans="1:8" ht="15.75" customHeight="1"/>
    <row r="76" spans="1:8" ht="15.75" customHeight="1">
      <c r="A76" s="74" t="s">
        <v>920</v>
      </c>
      <c r="B76" s="75">
        <f>0.04/12</f>
        <v>3.3333333333333335E-3</v>
      </c>
      <c r="C76" s="73"/>
    </row>
    <row r="77" spans="1:8" ht="15.75" customHeight="1">
      <c r="A77" s="74" t="s">
        <v>932</v>
      </c>
      <c r="B77" s="76">
        <v>-1806</v>
      </c>
      <c r="C77" s="32"/>
      <c r="D77" s="160" t="s">
        <v>943</v>
      </c>
      <c r="E77" s="151"/>
      <c r="F77" s="151"/>
      <c r="G77" s="152"/>
    </row>
    <row r="78" spans="1:8" ht="15.75" customHeight="1">
      <c r="A78" s="74" t="s">
        <v>930</v>
      </c>
      <c r="B78" s="78">
        <v>48</v>
      </c>
      <c r="C78" s="32"/>
      <c r="D78" s="155"/>
      <c r="E78" s="156"/>
      <c r="F78" s="156"/>
      <c r="G78" s="157"/>
    </row>
    <row r="79" spans="1:8" ht="15.75" customHeight="1">
      <c r="A79" s="77" t="s">
        <v>924</v>
      </c>
      <c r="B79" s="76">
        <f>PV(B76,B78,B77)</f>
        <v>79985.633971824762</v>
      </c>
      <c r="C79" s="32"/>
    </row>
    <row r="80" spans="1:8" ht="15.75" customHeight="1">
      <c r="A80" s="77" t="s">
        <v>16</v>
      </c>
      <c r="B80" s="165" t="s">
        <v>944</v>
      </c>
      <c r="C80" s="145"/>
    </row>
    <row r="81" spans="1:9" ht="15.75" customHeight="1"/>
    <row r="82" spans="1:9" ht="15.75" customHeight="1"/>
    <row r="83" spans="1:9" ht="15.75" customHeight="1">
      <c r="A83" s="3" t="s">
        <v>945</v>
      </c>
    </row>
    <row r="84" spans="1:9" ht="15.75" customHeight="1">
      <c r="A84" s="162" t="s">
        <v>946</v>
      </c>
      <c r="B84" s="142"/>
      <c r="C84" s="142"/>
      <c r="D84" s="142"/>
      <c r="E84" s="142"/>
      <c r="F84" s="142"/>
      <c r="G84" s="142"/>
      <c r="H84" s="142"/>
      <c r="I84" s="142"/>
    </row>
    <row r="85" spans="1:9" ht="15.75" customHeight="1">
      <c r="A85" s="32"/>
      <c r="B85" s="32"/>
      <c r="C85" s="32"/>
      <c r="D85" s="32"/>
      <c r="E85" s="32"/>
      <c r="F85" s="32"/>
      <c r="G85" s="32"/>
      <c r="H85" s="32"/>
      <c r="I85" s="32"/>
    </row>
    <row r="86" spans="1:9" ht="15.75" customHeight="1">
      <c r="A86" s="3" t="s">
        <v>3</v>
      </c>
      <c r="B86" s="32"/>
      <c r="C86" s="32"/>
      <c r="D86" s="32"/>
      <c r="E86" s="32"/>
      <c r="F86" s="32"/>
      <c r="G86" s="32"/>
      <c r="H86" s="32"/>
      <c r="I86" s="32"/>
    </row>
    <row r="87" spans="1:9" ht="15.75" customHeight="1">
      <c r="A87" s="5" t="s">
        <v>947</v>
      </c>
      <c r="B87" s="32"/>
      <c r="C87" s="32"/>
      <c r="D87" s="32"/>
      <c r="E87" s="32"/>
      <c r="F87" s="32"/>
      <c r="G87" s="32"/>
      <c r="H87" s="32"/>
      <c r="I87" s="32"/>
    </row>
    <row r="88" spans="1:9" ht="15.75" customHeight="1">
      <c r="A88" s="32"/>
      <c r="B88" s="32"/>
    </row>
    <row r="89" spans="1:9" ht="15.75" customHeight="1">
      <c r="A89" s="72" t="s">
        <v>920</v>
      </c>
      <c r="B89" s="32"/>
    </row>
    <row r="90" spans="1:9" ht="15.75" customHeight="1">
      <c r="A90" s="32" t="s">
        <v>921</v>
      </c>
      <c r="B90" s="32"/>
    </row>
    <row r="91" spans="1:9" ht="15.75" customHeight="1">
      <c r="A91" s="32"/>
      <c r="B91" s="32"/>
    </row>
    <row r="92" spans="1:9" ht="15.75" customHeight="1">
      <c r="A92" s="72" t="s">
        <v>930</v>
      </c>
      <c r="B92" s="32"/>
    </row>
    <row r="93" spans="1:9" ht="15.75" customHeight="1">
      <c r="A93" s="73" t="s">
        <v>923</v>
      </c>
      <c r="B93" s="32"/>
    </row>
    <row r="94" spans="1:9" ht="15.75" customHeight="1">
      <c r="A94" s="32"/>
      <c r="B94" s="32"/>
    </row>
    <row r="95" spans="1:9" ht="15.75" customHeight="1">
      <c r="A95" s="72" t="s">
        <v>932</v>
      </c>
      <c r="B95" s="32"/>
    </row>
    <row r="96" spans="1:9" ht="15.75" customHeight="1">
      <c r="A96" s="73" t="s">
        <v>937</v>
      </c>
      <c r="B96" s="32"/>
    </row>
    <row r="97" spans="1:8" ht="15.75" customHeight="1"/>
    <row r="98" spans="1:8" ht="15.75" customHeight="1">
      <c r="A98" s="72" t="s">
        <v>948</v>
      </c>
      <c r="B98" s="32"/>
      <c r="C98" s="32"/>
      <c r="D98" s="32"/>
      <c r="E98" s="32"/>
      <c r="F98" s="32"/>
      <c r="G98" s="32"/>
      <c r="H98" s="32"/>
    </row>
    <row r="99" spans="1:8" ht="15.75" customHeight="1">
      <c r="A99" s="141" t="s">
        <v>949</v>
      </c>
      <c r="B99" s="142"/>
      <c r="C99" s="142"/>
      <c r="D99" s="142"/>
      <c r="E99" s="142"/>
      <c r="F99" s="142"/>
      <c r="G99" s="142"/>
      <c r="H99" s="142"/>
    </row>
    <row r="100" spans="1:8" ht="15.75" customHeight="1">
      <c r="A100" s="142"/>
      <c r="B100" s="142"/>
      <c r="C100" s="142"/>
      <c r="D100" s="142"/>
      <c r="E100" s="142"/>
      <c r="F100" s="142"/>
      <c r="G100" s="142"/>
      <c r="H100" s="142"/>
    </row>
    <row r="101" spans="1:8" ht="15.75" customHeight="1"/>
    <row r="102" spans="1:8" ht="15.75" customHeight="1">
      <c r="A102" s="74" t="s">
        <v>920</v>
      </c>
      <c r="B102" s="75">
        <f>0.04/12</f>
        <v>3.3333333333333335E-3</v>
      </c>
      <c r="C102" s="73"/>
    </row>
    <row r="103" spans="1:8" ht="15" customHeight="1">
      <c r="A103" s="74" t="s">
        <v>932</v>
      </c>
      <c r="B103" s="76">
        <v>-1806</v>
      </c>
      <c r="C103" s="32"/>
      <c r="D103" s="181" t="s">
        <v>950</v>
      </c>
      <c r="E103" s="151"/>
      <c r="F103" s="151"/>
      <c r="G103" s="151"/>
    </row>
    <row r="104" spans="1:8" ht="15.75" customHeight="1">
      <c r="A104" s="74" t="s">
        <v>930</v>
      </c>
      <c r="B104" s="78">
        <v>48</v>
      </c>
      <c r="C104" s="32"/>
      <c r="D104" s="142"/>
      <c r="E104" s="142"/>
      <c r="F104" s="142"/>
      <c r="G104" s="142"/>
    </row>
    <row r="105" spans="1:8" ht="15.75" customHeight="1">
      <c r="A105" s="77" t="s">
        <v>951</v>
      </c>
      <c r="B105" s="76">
        <f>FV(B102,B104,B103,B79)</f>
        <v>0</v>
      </c>
      <c r="C105" s="32"/>
      <c r="D105" s="142"/>
      <c r="E105" s="142"/>
      <c r="F105" s="142"/>
      <c r="G105" s="142"/>
    </row>
    <row r="106" spans="1:8" ht="15.75" customHeight="1">
      <c r="A106" s="77" t="s">
        <v>16</v>
      </c>
      <c r="B106" s="165" t="s">
        <v>952</v>
      </c>
      <c r="C106" s="145"/>
    </row>
    <row r="107" spans="1:8" ht="15.75" customHeight="1"/>
    <row r="108" spans="1:8" ht="15.75" customHeight="1"/>
    <row r="109" spans="1:8" ht="15.75" customHeight="1"/>
    <row r="110" spans="1:8" ht="15.75" customHeight="1"/>
    <row r="111" spans="1:8" ht="15.75" customHeight="1"/>
    <row r="112" spans="1:8"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32:I32"/>
    <mergeCell ref="A84:I84"/>
    <mergeCell ref="A99:H100"/>
    <mergeCell ref="D103:G105"/>
    <mergeCell ref="B106:C106"/>
    <mergeCell ref="A47:H48"/>
    <mergeCell ref="D51:G52"/>
    <mergeCell ref="B54:C54"/>
    <mergeCell ref="A58:I58"/>
    <mergeCell ref="A73:H74"/>
    <mergeCell ref="D77:G78"/>
    <mergeCell ref="B80:C80"/>
    <mergeCell ref="A1:D1"/>
    <mergeCell ref="A4:I4"/>
    <mergeCell ref="A19:H20"/>
    <mergeCell ref="A22:H23"/>
    <mergeCell ref="D26:G28"/>
    <mergeCell ref="B28:C28"/>
  </mergeCells>
  <pageMargins left="0.7" right="0.7" top="0.75" bottom="0.75" header="0" footer="0"/>
  <pageSetup orientation="portrait"/>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Z1000"/>
  <sheetViews>
    <sheetView workbookViewId="0"/>
  </sheetViews>
  <sheetFormatPr defaultColWidth="14.42578125" defaultRowHeight="15" customHeight="1"/>
  <cols>
    <col min="1" max="1" width="2.7109375" customWidth="1"/>
    <col min="2" max="9" width="9.140625" customWidth="1"/>
    <col min="10" max="11" width="8.85546875" customWidth="1"/>
    <col min="12" max="13" width="9.140625" customWidth="1"/>
    <col min="14" max="14" width="32.42578125" customWidth="1"/>
    <col min="15" max="15" width="9.140625" customWidth="1"/>
    <col min="16" max="26" width="8.7109375" customWidth="1"/>
  </cols>
  <sheetData>
    <row r="1" spans="1:26" ht="12.75" customHeight="1">
      <c r="A1" s="79" t="str">
        <f ca="1">MID(CELL("filename",A1),FIND("]",CELL("filename",A1))+1,256)</f>
        <v>VlookUp</v>
      </c>
      <c r="B1" s="80"/>
      <c r="C1" s="80"/>
      <c r="D1" s="80"/>
      <c r="E1" s="80"/>
      <c r="F1" s="80"/>
      <c r="G1" s="80"/>
      <c r="H1" s="80"/>
      <c r="I1" s="80"/>
      <c r="J1" s="80"/>
      <c r="K1" s="81"/>
      <c r="L1" s="44"/>
      <c r="M1" s="44"/>
      <c r="N1" s="44"/>
      <c r="O1" s="44"/>
      <c r="P1" s="44"/>
      <c r="Q1" s="44"/>
      <c r="R1" s="44"/>
      <c r="S1" s="44"/>
      <c r="T1" s="44"/>
      <c r="U1" s="44"/>
      <c r="V1" s="44"/>
      <c r="W1" s="44"/>
      <c r="X1" s="44"/>
      <c r="Y1" s="44"/>
      <c r="Z1" s="44"/>
    </row>
    <row r="2" spans="1:26" ht="12.75" customHeight="1">
      <c r="A2" s="44"/>
      <c r="B2" s="44"/>
      <c r="C2" s="44"/>
      <c r="D2" s="44"/>
      <c r="E2" s="44"/>
      <c r="F2" s="44"/>
      <c r="G2" s="44"/>
      <c r="H2" s="44"/>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82"/>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82"/>
      <c r="I4" s="44"/>
      <c r="J4" s="44"/>
      <c r="K4" s="44"/>
      <c r="L4" s="44"/>
      <c r="M4" s="44"/>
      <c r="N4" s="44"/>
      <c r="O4" s="44"/>
      <c r="P4" s="44"/>
      <c r="Q4" s="44"/>
      <c r="R4" s="44"/>
      <c r="S4" s="44"/>
      <c r="T4" s="44"/>
      <c r="U4" s="44"/>
      <c r="V4" s="44"/>
      <c r="W4" s="44"/>
      <c r="X4" s="44"/>
      <c r="Y4" s="44"/>
      <c r="Z4" s="44"/>
    </row>
    <row r="5" spans="1:26" ht="12.75" customHeight="1">
      <c r="A5" s="44"/>
      <c r="B5" s="44"/>
      <c r="C5" s="83" t="s">
        <v>953</v>
      </c>
      <c r="D5" s="83" t="s">
        <v>954</v>
      </c>
      <c r="E5" s="83" t="s">
        <v>955</v>
      </c>
      <c r="F5" s="83" t="s">
        <v>956</v>
      </c>
      <c r="G5" s="83" t="s">
        <v>957</v>
      </c>
      <c r="H5" s="83" t="s">
        <v>958</v>
      </c>
      <c r="I5" s="44"/>
      <c r="J5" s="44"/>
      <c r="K5" s="44"/>
      <c r="L5" s="44"/>
      <c r="M5" s="44"/>
      <c r="N5" s="44"/>
      <c r="O5" s="44"/>
      <c r="P5" s="44"/>
      <c r="Q5" s="44"/>
      <c r="R5" s="44"/>
      <c r="S5" s="44"/>
      <c r="T5" s="44"/>
      <c r="U5" s="44"/>
      <c r="V5" s="44"/>
      <c r="W5" s="44"/>
      <c r="X5" s="44"/>
      <c r="Y5" s="44"/>
      <c r="Z5" s="44"/>
    </row>
    <row r="6" spans="1:26" ht="12.75" customHeight="1">
      <c r="A6" s="44"/>
      <c r="B6" s="44"/>
      <c r="C6" s="84" t="s">
        <v>609</v>
      </c>
      <c r="D6" s="85">
        <v>10</v>
      </c>
      <c r="E6" s="85">
        <v>20</v>
      </c>
      <c r="F6" s="85">
        <v>30</v>
      </c>
      <c r="G6" s="85">
        <v>40</v>
      </c>
      <c r="H6" s="85">
        <v>50</v>
      </c>
      <c r="I6" s="44"/>
      <c r="J6" s="44"/>
      <c r="K6" s="44"/>
      <c r="L6" s="44"/>
      <c r="M6" s="44"/>
      <c r="N6" s="44"/>
      <c r="O6" s="44"/>
      <c r="P6" s="44"/>
      <c r="Q6" s="44"/>
      <c r="R6" s="44"/>
      <c r="S6" s="44"/>
      <c r="T6" s="44"/>
      <c r="U6" s="44"/>
      <c r="V6" s="44"/>
      <c r="W6" s="44"/>
      <c r="X6" s="44"/>
      <c r="Y6" s="44"/>
      <c r="Z6" s="44"/>
    </row>
    <row r="7" spans="1:26" ht="12.75" customHeight="1">
      <c r="A7" s="44"/>
      <c r="B7" s="44"/>
      <c r="C7" s="84" t="s">
        <v>610</v>
      </c>
      <c r="D7" s="85">
        <v>80</v>
      </c>
      <c r="E7" s="85">
        <v>90</v>
      </c>
      <c r="F7" s="85">
        <v>100</v>
      </c>
      <c r="G7" s="85">
        <v>110</v>
      </c>
      <c r="H7" s="85">
        <v>120</v>
      </c>
      <c r="I7" s="44"/>
      <c r="J7" s="44"/>
      <c r="K7" s="44"/>
      <c r="L7" s="44"/>
      <c r="M7" s="44"/>
      <c r="N7" s="44"/>
      <c r="O7" s="44"/>
      <c r="P7" s="44"/>
      <c r="Q7" s="44"/>
      <c r="R7" s="44"/>
      <c r="S7" s="44"/>
      <c r="T7" s="44"/>
      <c r="U7" s="44"/>
      <c r="V7" s="44"/>
      <c r="W7" s="44"/>
      <c r="X7" s="44"/>
      <c r="Y7" s="44"/>
      <c r="Z7" s="44"/>
    </row>
    <row r="8" spans="1:26" ht="12.75" customHeight="1">
      <c r="A8" s="44"/>
      <c r="B8" s="44"/>
      <c r="C8" s="84" t="s">
        <v>959</v>
      </c>
      <c r="D8" s="85">
        <v>97</v>
      </c>
      <c r="E8" s="85">
        <v>69</v>
      </c>
      <c r="F8" s="85">
        <v>45</v>
      </c>
      <c r="G8" s="85">
        <v>51</v>
      </c>
      <c r="H8" s="85">
        <v>77</v>
      </c>
      <c r="I8" s="44"/>
      <c r="J8" s="44"/>
      <c r="K8" s="44"/>
      <c r="L8" s="44"/>
      <c r="M8" s="44"/>
      <c r="N8" s="44"/>
      <c r="O8" s="44"/>
      <c r="P8" s="44"/>
      <c r="Q8" s="44"/>
      <c r="R8" s="44"/>
      <c r="S8" s="44"/>
      <c r="T8" s="44"/>
      <c r="U8" s="44"/>
      <c r="V8" s="44"/>
      <c r="W8" s="44"/>
      <c r="X8" s="44"/>
      <c r="Y8" s="44"/>
      <c r="Z8" s="44"/>
    </row>
    <row r="9" spans="1:26" ht="12.75" customHeight="1">
      <c r="A9" s="44"/>
      <c r="B9" s="44"/>
      <c r="C9" s="44"/>
      <c r="D9" s="44"/>
      <c r="E9" s="44"/>
      <c r="F9" s="44"/>
      <c r="G9" s="44"/>
      <c r="H9" s="44"/>
      <c r="I9" s="44"/>
      <c r="J9" s="44"/>
      <c r="K9" s="44"/>
      <c r="L9" s="44"/>
      <c r="M9" s="44"/>
      <c r="N9" s="44"/>
      <c r="O9" s="44"/>
      <c r="P9" s="44"/>
      <c r="Q9" s="44"/>
      <c r="R9" s="44"/>
      <c r="S9" s="44"/>
      <c r="T9" s="44"/>
      <c r="U9" s="44"/>
      <c r="V9" s="44"/>
      <c r="W9" s="44"/>
      <c r="X9" s="44"/>
      <c r="Y9" s="44"/>
      <c r="Z9" s="44"/>
    </row>
    <row r="10" spans="1:26" ht="12.75" customHeight="1">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spans="1:26" ht="12.75" customHeight="1">
      <c r="A11" s="44"/>
      <c r="B11" s="44"/>
      <c r="C11" s="86"/>
      <c r="D11" s="87"/>
      <c r="E11" s="87"/>
      <c r="F11" s="88" t="s">
        <v>960</v>
      </c>
      <c r="G11" s="85" t="s">
        <v>610</v>
      </c>
      <c r="H11" s="44"/>
      <c r="I11" s="44"/>
      <c r="J11" s="44"/>
      <c r="K11" s="44"/>
      <c r="L11" s="44"/>
      <c r="M11" s="44"/>
      <c r="N11" s="44"/>
      <c r="O11" s="44"/>
      <c r="P11" s="44"/>
      <c r="Q11" s="44"/>
      <c r="R11" s="44"/>
      <c r="S11" s="44"/>
      <c r="T11" s="44"/>
      <c r="U11" s="44"/>
      <c r="V11" s="44"/>
      <c r="W11" s="44"/>
      <c r="X11" s="44"/>
      <c r="Y11" s="44"/>
      <c r="Z11" s="44"/>
    </row>
    <row r="12" spans="1:26" ht="12.75" customHeight="1">
      <c r="A12" s="44"/>
      <c r="B12" s="44"/>
      <c r="C12" s="86"/>
      <c r="D12" s="87"/>
      <c r="E12" s="87"/>
      <c r="F12" s="88" t="s">
        <v>961</v>
      </c>
      <c r="G12" s="85">
        <v>4</v>
      </c>
      <c r="H12" s="44"/>
      <c r="I12" s="44"/>
      <c r="J12" s="44"/>
      <c r="K12" s="44"/>
      <c r="L12" s="44"/>
      <c r="M12" s="44"/>
      <c r="N12" s="44"/>
      <c r="O12" s="44"/>
      <c r="P12" s="44"/>
      <c r="Q12" s="44"/>
      <c r="R12" s="44"/>
      <c r="S12" s="44"/>
      <c r="T12" s="44"/>
      <c r="U12" s="44"/>
      <c r="V12" s="44"/>
      <c r="W12" s="44"/>
      <c r="X12" s="44"/>
      <c r="Y12" s="44"/>
      <c r="Z12" s="44"/>
    </row>
    <row r="13" spans="1:26" ht="12.75" customHeight="1">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spans="1:26" ht="12.75" customHeight="1">
      <c r="A14" s="44"/>
      <c r="B14" s="44"/>
      <c r="C14" s="44"/>
      <c r="D14" s="44"/>
      <c r="E14" s="86"/>
      <c r="F14" s="88" t="s">
        <v>962</v>
      </c>
      <c r="G14" s="89">
        <f>VLOOKUP(G11,C6:H8,G12,FALSE)</f>
        <v>100</v>
      </c>
      <c r="H14" s="44"/>
      <c r="I14" s="44"/>
      <c r="J14" s="44"/>
      <c r="K14" s="44"/>
      <c r="L14" s="44"/>
      <c r="M14" s="44"/>
      <c r="N14" s="44"/>
      <c r="O14" s="44"/>
      <c r="P14" s="44"/>
      <c r="Q14" s="44"/>
      <c r="R14" s="44"/>
      <c r="S14" s="44"/>
      <c r="T14" s="44"/>
      <c r="U14" s="44"/>
      <c r="V14" s="44"/>
      <c r="W14" s="44"/>
      <c r="X14" s="44"/>
      <c r="Y14" s="44"/>
      <c r="Z14" s="44"/>
    </row>
    <row r="15" spans="1:26" ht="12.75" customHeight="1">
      <c r="A15" s="44"/>
      <c r="B15" s="44"/>
      <c r="C15" s="44"/>
      <c r="D15" s="44"/>
      <c r="E15" s="44"/>
      <c r="F15" s="44"/>
      <c r="G15" s="90" t="s">
        <v>963</v>
      </c>
      <c r="H15" s="44"/>
      <c r="I15" s="44"/>
      <c r="J15" s="4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1:26" ht="12.75" customHeight="1">
      <c r="A17" s="44"/>
      <c r="B17" s="91" t="s">
        <v>964</v>
      </c>
      <c r="C17" s="91"/>
      <c r="D17" s="91"/>
      <c r="E17" s="91"/>
      <c r="F17" s="91"/>
      <c r="G17" s="91"/>
      <c r="H17" s="91"/>
      <c r="I17" s="91"/>
      <c r="J17" s="91"/>
      <c r="K17" s="92"/>
      <c r="L17" s="44"/>
      <c r="M17" s="44"/>
      <c r="N17" s="44"/>
      <c r="O17" s="44"/>
      <c r="P17" s="44"/>
      <c r="Q17" s="44"/>
      <c r="R17" s="44"/>
      <c r="S17" s="44"/>
      <c r="T17" s="44"/>
      <c r="U17" s="44"/>
      <c r="V17" s="44"/>
      <c r="W17" s="44"/>
      <c r="X17" s="44"/>
      <c r="Y17" s="44"/>
      <c r="Z17" s="44"/>
    </row>
    <row r="18" spans="1:26" ht="12.75" customHeight="1">
      <c r="A18" s="44"/>
      <c r="B18" s="90" t="s">
        <v>965</v>
      </c>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12.75" customHeight="1">
      <c r="A19" s="44"/>
      <c r="B19" s="44" t="s">
        <v>966</v>
      </c>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ht="12.75" customHeight="1">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ht="12.75" customHeight="1">
      <c r="A21" s="44"/>
      <c r="B21" s="91" t="s">
        <v>3</v>
      </c>
      <c r="C21" s="91"/>
      <c r="D21" s="91"/>
      <c r="E21" s="91"/>
      <c r="F21" s="91"/>
      <c r="G21" s="91"/>
      <c r="H21" s="91"/>
      <c r="I21" s="91"/>
      <c r="J21" s="91"/>
      <c r="K21" s="92"/>
      <c r="L21" s="44"/>
      <c r="M21" s="44"/>
      <c r="N21" s="44"/>
      <c r="O21" s="44"/>
      <c r="P21" s="44"/>
      <c r="Q21" s="44"/>
      <c r="R21" s="44"/>
      <c r="S21" s="44"/>
      <c r="T21" s="44"/>
      <c r="U21" s="44"/>
      <c r="V21" s="44"/>
      <c r="W21" s="44"/>
      <c r="X21" s="44"/>
      <c r="Y21" s="44"/>
      <c r="Z21" s="44"/>
    </row>
    <row r="22" spans="1:26" ht="12.75" customHeight="1">
      <c r="A22" s="44"/>
      <c r="B22" s="93" t="s">
        <v>967</v>
      </c>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ht="12.75" customHeight="1">
      <c r="A23" s="44"/>
      <c r="B23" s="44" t="s">
        <v>968</v>
      </c>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ht="12.75" customHeight="1">
      <c r="A24" s="44"/>
      <c r="B24" s="44" t="s">
        <v>969</v>
      </c>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ht="12.75" customHeight="1">
      <c r="A25" s="44"/>
      <c r="B25" s="44" t="s">
        <v>970</v>
      </c>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12.75" customHeight="1">
      <c r="A26" s="44"/>
      <c r="B26" s="44" t="s">
        <v>971</v>
      </c>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12.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12.75" customHeight="1">
      <c r="A28" s="44"/>
      <c r="B28" s="91" t="s">
        <v>45</v>
      </c>
      <c r="C28" s="91"/>
      <c r="D28" s="91"/>
      <c r="E28" s="91"/>
      <c r="F28" s="91"/>
      <c r="G28" s="91"/>
      <c r="H28" s="91"/>
      <c r="I28" s="91"/>
      <c r="J28" s="91"/>
      <c r="K28" s="92"/>
      <c r="L28" s="44"/>
      <c r="M28" s="44"/>
      <c r="N28" s="44"/>
      <c r="O28" s="44"/>
      <c r="P28" s="44"/>
      <c r="Q28" s="44"/>
      <c r="R28" s="44"/>
      <c r="S28" s="44"/>
      <c r="T28" s="44"/>
      <c r="U28" s="44"/>
      <c r="V28" s="44"/>
      <c r="W28" s="44"/>
      <c r="X28" s="44"/>
      <c r="Y28" s="44"/>
      <c r="Z28" s="44"/>
    </row>
    <row r="29" spans="1:26" ht="12.75" customHeight="1">
      <c r="A29" s="44"/>
      <c r="B29" s="44" t="s">
        <v>972</v>
      </c>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12.75" customHeight="1">
      <c r="A30" s="44"/>
      <c r="B30" s="44" t="s">
        <v>973</v>
      </c>
      <c r="C30" s="44"/>
      <c r="D30" s="44"/>
      <c r="E30" s="44"/>
      <c r="F30" s="44"/>
      <c r="G30" s="44"/>
      <c r="H30" s="44"/>
      <c r="I30" s="44"/>
      <c r="J30" s="44"/>
      <c r="K30" s="44"/>
      <c r="L30" s="44"/>
      <c r="M30" s="94" t="s">
        <v>974</v>
      </c>
      <c r="N30" s="94" t="s">
        <v>11</v>
      </c>
      <c r="O30" s="94" t="s">
        <v>49</v>
      </c>
      <c r="P30" s="44"/>
      <c r="Q30" s="44"/>
      <c r="R30" s="44"/>
      <c r="S30" s="44"/>
      <c r="T30" s="44"/>
      <c r="U30" s="44"/>
      <c r="V30" s="44"/>
      <c r="W30" s="44"/>
      <c r="X30" s="44"/>
      <c r="Y30" s="44"/>
      <c r="Z30" s="44"/>
    </row>
    <row r="31" spans="1:26" ht="12.75" customHeight="1">
      <c r="A31" s="44"/>
      <c r="B31" s="44" t="s">
        <v>975</v>
      </c>
      <c r="C31" s="44"/>
      <c r="D31" s="44"/>
      <c r="E31" s="44"/>
      <c r="F31" s="44"/>
      <c r="G31" s="44"/>
      <c r="H31" s="44"/>
      <c r="I31" s="44"/>
      <c r="J31" s="44"/>
      <c r="K31" s="44"/>
      <c r="L31" s="44"/>
      <c r="M31" s="95" t="s">
        <v>976</v>
      </c>
      <c r="N31" s="96" t="s">
        <v>977</v>
      </c>
      <c r="O31" s="95" t="s">
        <v>978</v>
      </c>
      <c r="P31" s="44"/>
      <c r="Q31" s="44"/>
      <c r="R31" s="44"/>
      <c r="S31" s="44"/>
      <c r="T31" s="44"/>
      <c r="U31" s="44"/>
      <c r="V31" s="44"/>
      <c r="W31" s="44"/>
      <c r="X31" s="44"/>
      <c r="Y31" s="44"/>
      <c r="Z31" s="44"/>
    </row>
    <row r="32" spans="1:26" ht="12.75" customHeight="1">
      <c r="A32" s="44"/>
      <c r="B32" s="44" t="s">
        <v>979</v>
      </c>
      <c r="C32" s="44"/>
      <c r="D32" s="44"/>
      <c r="E32" s="44"/>
      <c r="F32" s="44"/>
      <c r="G32" s="44"/>
      <c r="H32" s="44"/>
      <c r="I32" s="44"/>
      <c r="J32" s="44"/>
      <c r="K32" s="44"/>
      <c r="L32" s="44"/>
      <c r="M32" s="95" t="s">
        <v>980</v>
      </c>
      <c r="N32" s="96" t="s">
        <v>981</v>
      </c>
      <c r="O32" s="95" t="s">
        <v>982</v>
      </c>
      <c r="P32" s="44"/>
      <c r="Q32" s="44"/>
      <c r="R32" s="44"/>
      <c r="S32" s="44"/>
      <c r="T32" s="44"/>
      <c r="U32" s="44"/>
      <c r="V32" s="44"/>
      <c r="W32" s="44"/>
      <c r="X32" s="44"/>
      <c r="Y32" s="44"/>
      <c r="Z32" s="44"/>
    </row>
    <row r="33" spans="1:26" ht="12.75" customHeight="1">
      <c r="A33" s="44"/>
      <c r="B33" s="44"/>
      <c r="C33" s="44"/>
      <c r="D33" s="44"/>
      <c r="E33" s="44"/>
      <c r="F33" s="44"/>
      <c r="G33" s="44"/>
      <c r="H33" s="44"/>
      <c r="I33" s="44"/>
      <c r="J33" s="44"/>
      <c r="K33" s="44"/>
      <c r="L33" s="44"/>
      <c r="M33" s="95" t="s">
        <v>983</v>
      </c>
      <c r="N33" s="96" t="s">
        <v>984</v>
      </c>
      <c r="O33" s="95">
        <v>18</v>
      </c>
      <c r="P33" s="44"/>
      <c r="Q33" s="44"/>
      <c r="R33" s="44"/>
      <c r="S33" s="44"/>
      <c r="T33" s="44"/>
      <c r="U33" s="44"/>
      <c r="V33" s="44"/>
      <c r="W33" s="44"/>
      <c r="X33" s="44"/>
      <c r="Y33" s="44"/>
      <c r="Z33" s="44"/>
    </row>
    <row r="34" spans="1:26" ht="12.75" customHeight="1">
      <c r="A34" s="44"/>
      <c r="B34" s="44" t="s">
        <v>985</v>
      </c>
      <c r="C34" s="44"/>
      <c r="D34" s="44"/>
      <c r="E34" s="44"/>
      <c r="F34" s="44"/>
      <c r="G34" s="44"/>
      <c r="H34" s="44"/>
      <c r="I34" s="44"/>
      <c r="J34" s="44"/>
      <c r="K34" s="44"/>
      <c r="L34" s="44"/>
      <c r="M34" s="95" t="s">
        <v>980</v>
      </c>
      <c r="N34" s="96" t="s">
        <v>986</v>
      </c>
      <c r="O34" s="95" t="e">
        <v>#N/A</v>
      </c>
      <c r="P34" s="44"/>
      <c r="Q34" s="44"/>
      <c r="R34" s="44"/>
      <c r="S34" s="44"/>
      <c r="T34" s="44"/>
      <c r="U34" s="44"/>
      <c r="V34" s="44"/>
      <c r="W34" s="44"/>
      <c r="X34" s="44"/>
      <c r="Y34" s="44"/>
      <c r="Z34" s="44"/>
    </row>
    <row r="35" spans="1:26" ht="12.75" customHeight="1">
      <c r="A35" s="44"/>
      <c r="B35" s="44" t="s">
        <v>987</v>
      </c>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12.75" customHeight="1">
      <c r="A36" s="44"/>
      <c r="B36" s="44" t="s">
        <v>988</v>
      </c>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12.75" customHeight="1">
      <c r="A37" s="44"/>
      <c r="B37" s="44" t="s">
        <v>989</v>
      </c>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12.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12.75" customHeight="1">
      <c r="A39" s="44"/>
      <c r="B39" s="44" t="s">
        <v>990</v>
      </c>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12.75" customHeight="1">
      <c r="A40" s="44"/>
      <c r="B40" s="44" t="s">
        <v>991</v>
      </c>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12.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12.75" customHeight="1">
      <c r="A42" s="44"/>
      <c r="B42" s="44" t="s">
        <v>992</v>
      </c>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12.75" customHeight="1">
      <c r="A43" s="44"/>
      <c r="B43" s="44" t="s">
        <v>993</v>
      </c>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12.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12.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12.75" customHeight="1">
      <c r="A46" s="44"/>
      <c r="B46" s="44"/>
      <c r="C46" s="44"/>
      <c r="D46" s="84" t="s">
        <v>609</v>
      </c>
      <c r="E46" s="84" t="s">
        <v>610</v>
      </c>
      <c r="F46" s="84" t="s">
        <v>959</v>
      </c>
      <c r="G46" s="44"/>
      <c r="H46" s="44"/>
      <c r="I46" s="44"/>
      <c r="J46" s="44"/>
      <c r="K46" s="44"/>
      <c r="L46" s="44"/>
      <c r="M46" s="44"/>
      <c r="N46" s="44"/>
      <c r="O46" s="44"/>
      <c r="P46" s="44"/>
      <c r="Q46" s="44"/>
      <c r="R46" s="44"/>
      <c r="S46" s="44"/>
      <c r="T46" s="44"/>
      <c r="U46" s="44"/>
      <c r="V46" s="44"/>
      <c r="W46" s="44"/>
      <c r="X46" s="44"/>
      <c r="Y46" s="44"/>
      <c r="Z46" s="44"/>
    </row>
    <row r="47" spans="1:26" ht="12.75" customHeight="1">
      <c r="A47" s="44"/>
      <c r="B47" s="44"/>
      <c r="C47" s="84" t="s">
        <v>994</v>
      </c>
      <c r="D47" s="85">
        <v>10</v>
      </c>
      <c r="E47" s="85">
        <v>80</v>
      </c>
      <c r="F47" s="85">
        <v>97</v>
      </c>
      <c r="G47" s="44"/>
      <c r="H47" s="44"/>
      <c r="I47" s="44"/>
      <c r="J47" s="44"/>
      <c r="K47" s="44"/>
      <c r="L47" s="44"/>
      <c r="M47" s="44"/>
      <c r="N47" s="44"/>
      <c r="O47" s="44"/>
      <c r="P47" s="44"/>
      <c r="Q47" s="44"/>
      <c r="R47" s="44"/>
      <c r="S47" s="44"/>
      <c r="T47" s="44"/>
      <c r="U47" s="44"/>
      <c r="V47" s="44"/>
      <c r="W47" s="44"/>
      <c r="X47" s="44"/>
      <c r="Y47" s="44"/>
      <c r="Z47" s="44"/>
    </row>
    <row r="48" spans="1:26" ht="12.75" customHeight="1">
      <c r="A48" s="44"/>
      <c r="B48" s="44"/>
      <c r="C48" s="84" t="s">
        <v>995</v>
      </c>
      <c r="D48" s="85">
        <v>20</v>
      </c>
      <c r="E48" s="85">
        <v>90</v>
      </c>
      <c r="F48" s="85">
        <v>69</v>
      </c>
      <c r="G48" s="44"/>
      <c r="H48" s="44"/>
      <c r="I48" s="44"/>
      <c r="J48" s="44"/>
      <c r="K48" s="44"/>
      <c r="L48" s="44"/>
      <c r="M48" s="44"/>
      <c r="N48" s="44"/>
      <c r="O48" s="44"/>
      <c r="P48" s="44"/>
      <c r="Q48" s="44"/>
      <c r="R48" s="44"/>
      <c r="S48" s="44"/>
      <c r="T48" s="44"/>
      <c r="U48" s="44"/>
      <c r="V48" s="44"/>
      <c r="W48" s="44"/>
      <c r="X48" s="44"/>
      <c r="Y48" s="44"/>
      <c r="Z48" s="44"/>
    </row>
    <row r="49" spans="1:26" ht="12.75" customHeight="1">
      <c r="A49" s="44"/>
      <c r="B49" s="44"/>
      <c r="C49" s="84" t="s">
        <v>996</v>
      </c>
      <c r="D49" s="85">
        <v>30</v>
      </c>
      <c r="E49" s="85">
        <v>100</v>
      </c>
      <c r="F49" s="85">
        <v>45</v>
      </c>
      <c r="G49" s="44"/>
      <c r="H49" s="44"/>
      <c r="I49" s="44"/>
      <c r="J49" s="44"/>
      <c r="K49" s="44"/>
      <c r="L49" s="44"/>
      <c r="M49" s="44"/>
      <c r="N49" s="44"/>
      <c r="O49" s="44"/>
      <c r="P49" s="44"/>
      <c r="Q49" s="44"/>
      <c r="R49" s="44"/>
      <c r="S49" s="44"/>
      <c r="T49" s="44"/>
      <c r="U49" s="44"/>
      <c r="V49" s="44"/>
      <c r="W49" s="44"/>
      <c r="X49" s="44"/>
      <c r="Y49" s="44"/>
      <c r="Z49" s="44"/>
    </row>
    <row r="50" spans="1:26" ht="12.75" customHeight="1">
      <c r="A50" s="44"/>
      <c r="B50" s="44"/>
      <c r="C50" s="84" t="s">
        <v>997</v>
      </c>
      <c r="D50" s="85">
        <v>40</v>
      </c>
      <c r="E50" s="85">
        <v>110</v>
      </c>
      <c r="F50" s="85">
        <v>51</v>
      </c>
      <c r="G50" s="44"/>
      <c r="H50" s="44"/>
      <c r="I50" s="44"/>
      <c r="J50" s="44"/>
      <c r="K50" s="44"/>
      <c r="L50" s="44"/>
      <c r="M50" s="44"/>
      <c r="N50" s="44"/>
      <c r="O50" s="44"/>
      <c r="P50" s="44"/>
      <c r="Q50" s="44"/>
      <c r="R50" s="44"/>
      <c r="S50" s="44"/>
      <c r="T50" s="44"/>
      <c r="U50" s="44"/>
      <c r="V50" s="44"/>
      <c r="W50" s="44"/>
      <c r="X50" s="44"/>
      <c r="Y50" s="44"/>
      <c r="Z50" s="44"/>
    </row>
    <row r="51" spans="1:26" ht="12.75" customHeight="1">
      <c r="A51" s="44"/>
      <c r="B51" s="44"/>
      <c r="C51" s="84" t="s">
        <v>998</v>
      </c>
      <c r="D51" s="85">
        <v>50</v>
      </c>
      <c r="E51" s="85">
        <v>120</v>
      </c>
      <c r="F51" s="85">
        <v>77</v>
      </c>
      <c r="G51" s="44"/>
      <c r="H51" s="44"/>
      <c r="I51" s="44"/>
      <c r="J51" s="44"/>
      <c r="K51" s="44"/>
      <c r="L51" s="44"/>
      <c r="M51" s="44"/>
      <c r="N51" s="44"/>
      <c r="O51" s="44"/>
      <c r="P51" s="44"/>
      <c r="Q51" s="44"/>
      <c r="R51" s="44"/>
      <c r="S51" s="44"/>
      <c r="T51" s="44"/>
      <c r="U51" s="44"/>
      <c r="V51" s="44"/>
      <c r="W51" s="44"/>
      <c r="X51" s="44"/>
      <c r="Y51" s="44"/>
      <c r="Z51" s="44"/>
    </row>
    <row r="52" spans="1:26" ht="12.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12.75" customHeight="1">
      <c r="A53" s="44"/>
      <c r="B53" s="86"/>
      <c r="C53" s="87"/>
      <c r="D53" s="87"/>
      <c r="E53" s="88" t="s">
        <v>999</v>
      </c>
      <c r="F53" s="85" t="s">
        <v>1000</v>
      </c>
      <c r="G53" s="44"/>
      <c r="H53" s="44"/>
      <c r="I53" s="44"/>
      <c r="J53" s="44"/>
      <c r="K53" s="44"/>
      <c r="L53" s="44"/>
      <c r="M53" s="44"/>
      <c r="N53" s="44"/>
      <c r="O53" s="44"/>
      <c r="P53" s="44"/>
      <c r="Q53" s="44"/>
      <c r="R53" s="44"/>
      <c r="S53" s="44"/>
      <c r="T53" s="44"/>
      <c r="U53" s="44"/>
      <c r="V53" s="44"/>
      <c r="W53" s="44"/>
      <c r="X53" s="44"/>
      <c r="Y53" s="44"/>
      <c r="Z53" s="44"/>
    </row>
    <row r="54" spans="1:26" ht="12.75" customHeight="1">
      <c r="A54" s="44"/>
      <c r="B54" s="86"/>
      <c r="C54" s="87"/>
      <c r="D54" s="87"/>
      <c r="E54" s="88" t="s">
        <v>960</v>
      </c>
      <c r="F54" s="85" t="s">
        <v>1001</v>
      </c>
      <c r="G54" s="44"/>
      <c r="H54" s="44"/>
      <c r="I54" s="44"/>
      <c r="J54" s="44"/>
      <c r="K54" s="44"/>
      <c r="L54" s="44"/>
      <c r="M54" s="44"/>
      <c r="N54" s="44"/>
      <c r="O54" s="44"/>
      <c r="P54" s="44"/>
      <c r="Q54" s="44"/>
      <c r="R54" s="44"/>
      <c r="S54" s="44"/>
      <c r="T54" s="44"/>
      <c r="U54" s="44"/>
      <c r="V54" s="44"/>
      <c r="W54" s="44"/>
      <c r="X54" s="44"/>
      <c r="Y54" s="44"/>
      <c r="Z54" s="44"/>
    </row>
    <row r="55" spans="1:26" ht="12.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12.75" customHeight="1">
      <c r="A56" s="44"/>
      <c r="B56" s="44"/>
      <c r="C56" s="44"/>
      <c r="D56" s="86"/>
      <c r="E56" s="88" t="s">
        <v>962</v>
      </c>
      <c r="F56" s="89">
        <f>VLOOKUP(F53,C47:F51,MATCH(F54,D46:F46,0)+1,FALSE)</f>
        <v>69</v>
      </c>
      <c r="G56" s="44"/>
      <c r="H56" s="44"/>
      <c r="I56" s="44"/>
      <c r="J56" s="44"/>
      <c r="K56" s="44"/>
      <c r="L56" s="44"/>
      <c r="M56" s="44"/>
      <c r="N56" s="44"/>
      <c r="O56" s="44"/>
      <c r="P56" s="44"/>
      <c r="Q56" s="44"/>
      <c r="R56" s="44"/>
      <c r="S56" s="44"/>
      <c r="T56" s="44"/>
      <c r="U56" s="44"/>
      <c r="V56" s="44"/>
      <c r="W56" s="44"/>
      <c r="X56" s="44"/>
      <c r="Y56" s="44"/>
      <c r="Z56" s="44"/>
    </row>
    <row r="57" spans="1:26" ht="12.75" customHeight="1">
      <c r="A57" s="44"/>
      <c r="B57" s="44"/>
      <c r="C57" s="44"/>
      <c r="D57" s="44"/>
      <c r="E57" s="44"/>
      <c r="F57" s="97" t="s">
        <v>1002</v>
      </c>
      <c r="G57" s="44"/>
      <c r="H57" s="44"/>
      <c r="I57" s="44"/>
      <c r="J57" s="44"/>
      <c r="K57" s="44"/>
      <c r="L57" s="44"/>
      <c r="M57" s="44"/>
      <c r="N57" s="44"/>
      <c r="O57" s="44"/>
      <c r="P57" s="44"/>
      <c r="Q57" s="44"/>
      <c r="R57" s="44"/>
      <c r="S57" s="44"/>
      <c r="T57" s="44"/>
      <c r="U57" s="44"/>
      <c r="V57" s="44"/>
      <c r="W57" s="44"/>
      <c r="X57" s="44"/>
      <c r="Y57" s="44"/>
      <c r="Z57" s="44"/>
    </row>
    <row r="58" spans="1:26" ht="12.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12.75" customHeight="1">
      <c r="A59" s="44"/>
      <c r="B59" s="91" t="s">
        <v>52</v>
      </c>
      <c r="C59" s="91"/>
      <c r="D59" s="91"/>
      <c r="E59" s="91"/>
      <c r="F59" s="91"/>
      <c r="G59" s="91"/>
      <c r="H59" s="91"/>
      <c r="I59" s="91"/>
      <c r="J59" s="91"/>
      <c r="K59" s="92"/>
      <c r="L59" s="44"/>
      <c r="M59" s="44"/>
      <c r="N59" s="44"/>
      <c r="O59" s="44"/>
      <c r="P59" s="44"/>
      <c r="Q59" s="44"/>
      <c r="R59" s="44"/>
      <c r="S59" s="44"/>
      <c r="T59" s="44"/>
      <c r="U59" s="44"/>
      <c r="V59" s="44"/>
      <c r="W59" s="44"/>
      <c r="X59" s="44"/>
      <c r="Y59" s="44"/>
      <c r="Z59" s="44"/>
    </row>
    <row r="60" spans="1:26" ht="12.75" customHeight="1">
      <c r="A60" s="44"/>
      <c r="B60" s="44" t="s">
        <v>1003</v>
      </c>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2.75" customHeight="1">
      <c r="A61" s="44"/>
      <c r="B61" s="44" t="s">
        <v>1004</v>
      </c>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2.75" customHeight="1">
      <c r="A62" s="44"/>
      <c r="B62" s="44" t="s">
        <v>1005</v>
      </c>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2.75" customHeight="1">
      <c r="A63" s="44"/>
      <c r="B63" s="44" t="s">
        <v>1006</v>
      </c>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2.75" customHeight="1">
      <c r="A64" s="44"/>
      <c r="B64" s="44" t="s">
        <v>1007</v>
      </c>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2.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2.75" customHeight="1">
      <c r="A66" s="44"/>
      <c r="B66" s="44" t="s">
        <v>1008</v>
      </c>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2.75" customHeight="1">
      <c r="A67" s="44"/>
      <c r="B67" s="44" t="s">
        <v>1009</v>
      </c>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2.75" customHeight="1">
      <c r="A68" s="44"/>
      <c r="B68" s="44" t="s">
        <v>1010</v>
      </c>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2.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2.75" customHeight="1">
      <c r="A70" s="44"/>
      <c r="B70" s="84" t="s">
        <v>512</v>
      </c>
      <c r="C70" s="84" t="s">
        <v>513</v>
      </c>
      <c r="D70" s="84" t="s">
        <v>514</v>
      </c>
      <c r="E70" s="44"/>
      <c r="F70" s="44" t="s">
        <v>503</v>
      </c>
      <c r="G70" s="44"/>
      <c r="H70" s="44"/>
      <c r="I70" s="44"/>
      <c r="J70" s="44"/>
      <c r="K70" s="44"/>
      <c r="L70" s="44"/>
      <c r="M70" s="44"/>
      <c r="N70" s="44"/>
      <c r="O70" s="44"/>
      <c r="P70" s="44"/>
      <c r="Q70" s="44"/>
      <c r="R70" s="44"/>
      <c r="S70" s="44"/>
      <c r="T70" s="44"/>
      <c r="U70" s="44"/>
      <c r="V70" s="44"/>
      <c r="W70" s="44"/>
      <c r="X70" s="44"/>
      <c r="Y70" s="44"/>
      <c r="Z70" s="44"/>
    </row>
    <row r="71" spans="1:26" ht="12.75" customHeight="1">
      <c r="A71" s="44"/>
      <c r="B71" s="98" t="s">
        <v>1011</v>
      </c>
      <c r="C71" s="99" t="s">
        <v>510</v>
      </c>
      <c r="D71" s="100">
        <f>VLOOKUP(C71,F72:I76,MATCH(B71,G71:I71,0)+1,FALSE)</f>
        <v>50</v>
      </c>
      <c r="E71" s="44"/>
      <c r="F71" s="44"/>
      <c r="G71" s="101" t="s">
        <v>1011</v>
      </c>
      <c r="H71" s="102" t="s">
        <v>1012</v>
      </c>
      <c r="I71" s="103" t="s">
        <v>576</v>
      </c>
      <c r="J71" s="44"/>
      <c r="K71" s="44"/>
      <c r="L71" s="44"/>
      <c r="M71" s="44"/>
      <c r="N71" s="44"/>
      <c r="O71" s="44"/>
      <c r="P71" s="44"/>
      <c r="Q71" s="44"/>
      <c r="R71" s="44"/>
      <c r="S71" s="44"/>
      <c r="T71" s="44"/>
      <c r="U71" s="44"/>
      <c r="V71" s="44"/>
      <c r="W71" s="44"/>
      <c r="X71" s="44"/>
      <c r="Y71" s="44"/>
      <c r="Z71" s="44"/>
    </row>
    <row r="72" spans="1:26" ht="12.75" customHeight="1">
      <c r="A72" s="44"/>
      <c r="B72" s="98" t="s">
        <v>576</v>
      </c>
      <c r="C72" s="99" t="s">
        <v>507</v>
      </c>
      <c r="D72" s="100">
        <f>VLOOKUP(C72,F72:I76,MATCH(B72,G71:I71,0)+1,FALSE)</f>
        <v>600</v>
      </c>
      <c r="E72" s="44"/>
      <c r="F72" s="104" t="s">
        <v>507</v>
      </c>
      <c r="G72" s="105">
        <v>500</v>
      </c>
      <c r="H72" s="105">
        <v>450</v>
      </c>
      <c r="I72" s="106">
        <v>600</v>
      </c>
      <c r="J72" s="44"/>
      <c r="K72" s="44"/>
      <c r="L72" s="44"/>
      <c r="M72" s="44"/>
      <c r="N72" s="44"/>
      <c r="O72" s="44"/>
      <c r="P72" s="44"/>
      <c r="Q72" s="44"/>
      <c r="R72" s="44"/>
      <c r="S72" s="44"/>
      <c r="T72" s="44"/>
      <c r="U72" s="44"/>
      <c r="V72" s="44"/>
      <c r="W72" s="44"/>
      <c r="X72" s="44"/>
      <c r="Y72" s="44"/>
      <c r="Z72" s="44"/>
    </row>
    <row r="73" spans="1:26" ht="12.75" customHeight="1">
      <c r="A73" s="44"/>
      <c r="B73" s="98" t="s">
        <v>1012</v>
      </c>
      <c r="C73" s="99" t="s">
        <v>508</v>
      </c>
      <c r="D73" s="100">
        <f>VLOOKUP(C73,F72:I76,MATCH(B73,G71:I71,0)+1,FALSE)</f>
        <v>1200</v>
      </c>
      <c r="E73" s="44"/>
      <c r="F73" s="107" t="s">
        <v>508</v>
      </c>
      <c r="G73" s="85">
        <v>1000</v>
      </c>
      <c r="H73" s="85">
        <v>1200</v>
      </c>
      <c r="I73" s="108">
        <v>800</v>
      </c>
      <c r="J73" s="44"/>
      <c r="K73" s="44"/>
      <c r="L73" s="44"/>
      <c r="M73" s="44"/>
      <c r="N73" s="44"/>
      <c r="O73" s="44"/>
      <c r="P73" s="44"/>
      <c r="Q73" s="44"/>
      <c r="R73" s="44"/>
      <c r="S73" s="44"/>
      <c r="T73" s="44"/>
      <c r="U73" s="44"/>
      <c r="V73" s="44"/>
      <c r="W73" s="44"/>
      <c r="X73" s="44"/>
      <c r="Y73" s="44"/>
      <c r="Z73" s="44"/>
    </row>
    <row r="74" spans="1:26" ht="12.75" customHeight="1">
      <c r="A74" s="44"/>
      <c r="B74" s="98" t="s">
        <v>576</v>
      </c>
      <c r="C74" s="99" t="s">
        <v>509</v>
      </c>
      <c r="D74" s="100">
        <f>VLOOKUP(C74,F72:I76,MATCH(B74,G71:I71,0)+1,FALSE)</f>
        <v>275</v>
      </c>
      <c r="E74" s="44"/>
      <c r="F74" s="107" t="s">
        <v>509</v>
      </c>
      <c r="G74" s="85">
        <v>250</v>
      </c>
      <c r="H74" s="85">
        <v>350</v>
      </c>
      <c r="I74" s="108">
        <v>275</v>
      </c>
      <c r="J74" s="44"/>
      <c r="K74" s="44"/>
      <c r="L74" s="44"/>
      <c r="M74" s="44"/>
      <c r="N74" s="44"/>
      <c r="O74" s="44"/>
      <c r="P74" s="44"/>
      <c r="Q74" s="44"/>
      <c r="R74" s="44"/>
      <c r="S74" s="44"/>
      <c r="T74" s="44"/>
      <c r="U74" s="44"/>
      <c r="V74" s="44"/>
      <c r="W74" s="44"/>
      <c r="X74" s="44"/>
      <c r="Y74" s="44"/>
      <c r="Z74" s="44"/>
    </row>
    <row r="75" spans="1:26" ht="12.75" customHeight="1">
      <c r="A75" s="44"/>
      <c r="B75" s="98" t="s">
        <v>1012</v>
      </c>
      <c r="C75" s="99" t="s">
        <v>510</v>
      </c>
      <c r="D75" s="100">
        <f>VLOOKUP(C75,F72:I76,MATCH(B75,G71:I71,0)+1,FALSE)</f>
        <v>70</v>
      </c>
      <c r="E75" s="44"/>
      <c r="F75" s="107" t="s">
        <v>510</v>
      </c>
      <c r="G75" s="85">
        <v>50</v>
      </c>
      <c r="H75" s="85">
        <v>70</v>
      </c>
      <c r="I75" s="108">
        <v>45</v>
      </c>
      <c r="J75" s="44"/>
      <c r="K75" s="44"/>
      <c r="L75" s="44"/>
      <c r="M75" s="44"/>
      <c r="N75" s="44"/>
      <c r="O75" s="44"/>
      <c r="P75" s="44"/>
      <c r="Q75" s="44"/>
      <c r="R75" s="44"/>
      <c r="S75" s="44"/>
      <c r="T75" s="44"/>
      <c r="U75" s="44"/>
      <c r="V75" s="44"/>
      <c r="W75" s="44"/>
      <c r="X75" s="44"/>
      <c r="Y75" s="44"/>
      <c r="Z75" s="44"/>
    </row>
    <row r="76" spans="1:26" ht="12.75" customHeight="1">
      <c r="A76" s="44"/>
      <c r="B76" s="98" t="s">
        <v>1012</v>
      </c>
      <c r="C76" s="99" t="s">
        <v>511</v>
      </c>
      <c r="D76" s="100">
        <f>VLOOKUP(C76,F72:I76,MATCH(B76,G71:I71,0)+1,FALSE)</f>
        <v>290</v>
      </c>
      <c r="E76" s="44"/>
      <c r="F76" s="109" t="s">
        <v>511</v>
      </c>
      <c r="G76" s="110">
        <v>300</v>
      </c>
      <c r="H76" s="110">
        <v>290</v>
      </c>
      <c r="I76" s="111">
        <v>310</v>
      </c>
      <c r="J76" s="44"/>
      <c r="K76" s="44"/>
      <c r="L76" s="44"/>
      <c r="M76" s="44"/>
      <c r="N76" s="44"/>
      <c r="O76" s="44"/>
      <c r="P76" s="44"/>
      <c r="Q76" s="44"/>
      <c r="R76" s="44"/>
      <c r="S76" s="44"/>
      <c r="T76" s="44"/>
      <c r="U76" s="44"/>
      <c r="V76" s="44"/>
      <c r="W76" s="44"/>
      <c r="X76" s="44"/>
      <c r="Y76" s="44"/>
      <c r="Z76" s="44"/>
    </row>
    <row r="77" spans="1:26" ht="12.75" customHeight="1">
      <c r="A77" s="44"/>
      <c r="B77" s="98" t="s">
        <v>1011</v>
      </c>
      <c r="C77" s="99" t="s">
        <v>507</v>
      </c>
      <c r="D77" s="100">
        <f>VLOOKUP(C77,F72:I76,MATCH(B77,G71:I71,0)+1,FALSE)</f>
        <v>500</v>
      </c>
      <c r="E77" s="44"/>
      <c r="F77" s="44"/>
      <c r="G77" s="44"/>
      <c r="H77" s="44"/>
      <c r="I77" s="44"/>
      <c r="J77" s="44"/>
      <c r="K77" s="44"/>
      <c r="L77" s="44"/>
      <c r="M77" s="44"/>
      <c r="N77" s="44"/>
      <c r="O77" s="44"/>
      <c r="P77" s="44"/>
      <c r="Q77" s="44"/>
      <c r="R77" s="44"/>
      <c r="S77" s="44"/>
      <c r="T77" s="44"/>
      <c r="U77" s="44"/>
      <c r="V77" s="44"/>
      <c r="W77" s="44"/>
      <c r="X77" s="44"/>
      <c r="Y77" s="44"/>
      <c r="Z77" s="44"/>
    </row>
    <row r="78" spans="1:26" ht="12.75" customHeight="1">
      <c r="A78" s="44"/>
      <c r="B78" s="98" t="s">
        <v>1012</v>
      </c>
      <c r="C78" s="99" t="s">
        <v>508</v>
      </c>
      <c r="D78" s="100">
        <f>VLOOKUP(C78,F72:I76,MATCH(B78,G71:I71,0)+1,FALSE)</f>
        <v>1200</v>
      </c>
      <c r="E78" s="44"/>
      <c r="F78" s="44"/>
      <c r="G78" s="44"/>
      <c r="H78" s="44"/>
      <c r="I78" s="44"/>
      <c r="J78" s="44"/>
      <c r="K78" s="44"/>
      <c r="L78" s="44"/>
      <c r="M78" s="44"/>
      <c r="N78" s="44"/>
      <c r="O78" s="44"/>
      <c r="P78" s="44"/>
      <c r="Q78" s="44"/>
      <c r="R78" s="44"/>
      <c r="S78" s="44"/>
      <c r="T78" s="44"/>
      <c r="U78" s="44"/>
      <c r="V78" s="44"/>
      <c r="W78" s="44"/>
      <c r="X78" s="44"/>
      <c r="Y78" s="44"/>
      <c r="Z78" s="44"/>
    </row>
    <row r="79" spans="1:26" ht="12.75" customHeight="1">
      <c r="A79" s="44"/>
      <c r="B79" s="44"/>
      <c r="C79" s="44"/>
      <c r="D79" s="90" t="s">
        <v>1013</v>
      </c>
      <c r="E79" s="44"/>
      <c r="F79" s="44"/>
      <c r="G79" s="44"/>
      <c r="H79" s="44"/>
      <c r="I79" s="44"/>
      <c r="J79" s="44"/>
      <c r="K79" s="44"/>
      <c r="L79" s="44"/>
      <c r="M79" s="44"/>
      <c r="N79" s="44"/>
      <c r="O79" s="44"/>
      <c r="P79" s="44"/>
      <c r="Q79" s="44"/>
      <c r="R79" s="44"/>
      <c r="S79" s="44"/>
      <c r="T79" s="44"/>
      <c r="U79" s="44"/>
      <c r="V79" s="44"/>
      <c r="W79" s="44"/>
      <c r="X79" s="44"/>
      <c r="Y79" s="44"/>
      <c r="Z79" s="44"/>
    </row>
    <row r="80" spans="1:26" ht="12.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2.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2.75" customHeight="1">
      <c r="A82" s="44"/>
      <c r="B82" s="91" t="s">
        <v>647</v>
      </c>
      <c r="C82" s="91"/>
      <c r="D82" s="91"/>
      <c r="E82" s="91"/>
      <c r="F82" s="91"/>
      <c r="G82" s="91"/>
      <c r="H82" s="91"/>
      <c r="I82" s="91"/>
      <c r="J82" s="91"/>
      <c r="K82" s="92"/>
      <c r="L82" s="44"/>
      <c r="M82" s="44"/>
      <c r="N82" s="44"/>
      <c r="O82" s="44"/>
      <c r="P82" s="44"/>
      <c r="Q82" s="44"/>
      <c r="R82" s="44"/>
      <c r="S82" s="44"/>
      <c r="T82" s="44"/>
      <c r="U82" s="44"/>
      <c r="V82" s="44"/>
      <c r="W82" s="44"/>
      <c r="X82" s="44"/>
      <c r="Y82" s="44"/>
      <c r="Z82" s="44"/>
    </row>
    <row r="83" spans="1:26" ht="12.75" customHeight="1">
      <c r="A83" s="44"/>
      <c r="B83" s="44" t="s">
        <v>1014</v>
      </c>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2.75" customHeight="1">
      <c r="A84" s="44"/>
      <c r="B84" s="44" t="s">
        <v>1015</v>
      </c>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2.75" customHeight="1">
      <c r="A85" s="44"/>
      <c r="B85" s="44" t="s">
        <v>1016</v>
      </c>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2.75" customHeight="1">
      <c r="A86" s="44"/>
      <c r="B86" s="44" t="s">
        <v>1017</v>
      </c>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2.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2.75" customHeight="1">
      <c r="A88" s="44"/>
      <c r="B88" s="44" t="s">
        <v>1018</v>
      </c>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2.75" customHeight="1">
      <c r="A89" s="44"/>
      <c r="B89" s="44" t="s">
        <v>1019</v>
      </c>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2.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2.75" customHeight="1">
      <c r="A91" s="44"/>
      <c r="B91" s="44" t="s">
        <v>1020</v>
      </c>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2.75" customHeight="1">
      <c r="A92" s="44"/>
      <c r="B92" s="44" t="s">
        <v>1021</v>
      </c>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2.75" customHeight="1">
      <c r="A93" s="44"/>
      <c r="B93" s="44" t="s">
        <v>1022</v>
      </c>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2.75" customHeight="1">
      <c r="A94" s="44"/>
      <c r="B94" s="44" t="s">
        <v>1023</v>
      </c>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2.75" customHeight="1">
      <c r="A95" s="44"/>
      <c r="B95" s="44" t="s">
        <v>1024</v>
      </c>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2.75" customHeight="1">
      <c r="A96" s="44"/>
      <c r="B96" s="44" t="s">
        <v>1025</v>
      </c>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2.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2.75" customHeight="1">
      <c r="A98" s="44"/>
      <c r="B98" s="44" t="s">
        <v>1026</v>
      </c>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2.75" customHeight="1">
      <c r="A99" s="44"/>
      <c r="B99" s="44" t="s">
        <v>1027</v>
      </c>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2.75" customHeight="1">
      <c r="A100" s="44"/>
      <c r="B100" s="44" t="s">
        <v>1028</v>
      </c>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2.75" customHeight="1">
      <c r="A101" s="44"/>
      <c r="B101" s="44" t="s">
        <v>1029</v>
      </c>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2.75" customHeight="1">
      <c r="A102" s="44"/>
      <c r="B102" s="44" t="s">
        <v>1030</v>
      </c>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2.75" customHeight="1">
      <c r="A103" s="44"/>
      <c r="B103" s="44" t="s">
        <v>1031</v>
      </c>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2.75" customHeight="1">
      <c r="A104" s="44"/>
      <c r="B104" s="44" t="s">
        <v>1032</v>
      </c>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2.75" customHeight="1">
      <c r="A105" s="44"/>
      <c r="B105" s="44" t="s">
        <v>1033</v>
      </c>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2.75" customHeight="1">
      <c r="A106" s="44"/>
      <c r="B106" s="44" t="s">
        <v>1034</v>
      </c>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2.75" customHeight="1">
      <c r="A107" s="44"/>
      <c r="B107" s="44" t="s">
        <v>1035</v>
      </c>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2.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2.75" customHeight="1">
      <c r="A109" s="44"/>
      <c r="B109" s="44"/>
      <c r="C109" s="44"/>
      <c r="D109" s="44"/>
      <c r="E109" s="44"/>
      <c r="F109" s="44"/>
      <c r="G109" s="182" t="s">
        <v>1036</v>
      </c>
      <c r="H109" s="183"/>
      <c r="I109" s="183"/>
      <c r="J109" s="44"/>
      <c r="K109" s="44"/>
      <c r="L109" s="44"/>
      <c r="M109" s="44"/>
      <c r="N109" s="44"/>
      <c r="O109" s="44"/>
      <c r="P109" s="44"/>
      <c r="Q109" s="44"/>
      <c r="R109" s="44"/>
      <c r="S109" s="44"/>
      <c r="T109" s="44"/>
      <c r="U109" s="44"/>
      <c r="V109" s="44"/>
      <c r="W109" s="44"/>
      <c r="X109" s="44"/>
      <c r="Y109" s="44"/>
      <c r="Z109" s="44"/>
    </row>
    <row r="110" spans="1:26" ht="12.75" customHeight="1">
      <c r="A110" s="44"/>
      <c r="B110" s="44"/>
      <c r="C110" s="182" t="s">
        <v>1037</v>
      </c>
      <c r="D110" s="183"/>
      <c r="E110" s="44"/>
      <c r="F110" s="44"/>
      <c r="G110" s="112" t="s">
        <v>1038</v>
      </c>
      <c r="H110" s="113" t="s">
        <v>1039</v>
      </c>
      <c r="I110" s="114" t="s">
        <v>1040</v>
      </c>
      <c r="J110" s="44"/>
      <c r="K110" s="44"/>
      <c r="L110" s="44"/>
      <c r="M110" s="44"/>
      <c r="N110" s="44"/>
      <c r="O110" s="44"/>
      <c r="P110" s="44"/>
      <c r="Q110" s="44"/>
      <c r="R110" s="44"/>
      <c r="S110" s="44"/>
      <c r="T110" s="44"/>
      <c r="U110" s="44"/>
      <c r="V110" s="44"/>
      <c r="W110" s="44"/>
      <c r="X110" s="44"/>
      <c r="Y110" s="44"/>
      <c r="Z110" s="44"/>
    </row>
    <row r="111" spans="1:26" ht="12.75" customHeight="1">
      <c r="A111" s="44"/>
      <c r="B111" s="44"/>
      <c r="C111" s="115" t="s">
        <v>1038</v>
      </c>
      <c r="D111" s="116">
        <v>2</v>
      </c>
      <c r="E111" s="44"/>
      <c r="F111" s="117">
        <v>1</v>
      </c>
      <c r="G111" s="118">
        <v>0</v>
      </c>
      <c r="H111" s="118">
        <v>0</v>
      </c>
      <c r="I111" s="119">
        <v>0</v>
      </c>
      <c r="J111" s="44"/>
      <c r="K111" s="44"/>
      <c r="L111" s="44"/>
      <c r="M111" s="44"/>
      <c r="N111" s="44"/>
      <c r="O111" s="44"/>
      <c r="P111" s="44"/>
      <c r="Q111" s="44"/>
      <c r="R111" s="44"/>
      <c r="S111" s="44"/>
      <c r="T111" s="44"/>
      <c r="U111" s="44"/>
      <c r="V111" s="44"/>
      <c r="W111" s="44"/>
      <c r="X111" s="44"/>
      <c r="Y111" s="44"/>
      <c r="Z111" s="44"/>
    </row>
    <row r="112" spans="1:26" ht="12.75" customHeight="1">
      <c r="A112" s="44"/>
      <c r="B112" s="44"/>
      <c r="C112" s="120" t="s">
        <v>1039</v>
      </c>
      <c r="D112" s="121">
        <v>1</v>
      </c>
      <c r="E112" s="44"/>
      <c r="F112" s="122">
        <v>100</v>
      </c>
      <c r="G112" s="123">
        <v>0.06</v>
      </c>
      <c r="H112" s="123">
        <v>0.03</v>
      </c>
      <c r="I112" s="124">
        <v>0.12</v>
      </c>
      <c r="J112" s="44"/>
      <c r="K112" s="44"/>
      <c r="L112" s="44"/>
      <c r="M112" s="44"/>
      <c r="N112" s="44"/>
      <c r="O112" s="44"/>
      <c r="P112" s="44"/>
      <c r="Q112" s="44"/>
      <c r="R112" s="44"/>
      <c r="S112" s="44"/>
      <c r="T112" s="44"/>
      <c r="U112" s="44"/>
      <c r="V112" s="44"/>
      <c r="W112" s="44"/>
      <c r="X112" s="44"/>
      <c r="Y112" s="44"/>
      <c r="Z112" s="44"/>
    </row>
    <row r="113" spans="1:26" ht="12.75" customHeight="1">
      <c r="A113" s="44"/>
      <c r="B113" s="44"/>
      <c r="C113" s="125" t="s">
        <v>1040</v>
      </c>
      <c r="D113" s="126">
        <v>3</v>
      </c>
      <c r="E113" s="44"/>
      <c r="F113" s="127">
        <v>300</v>
      </c>
      <c r="G113" s="128">
        <v>0.08</v>
      </c>
      <c r="H113" s="128">
        <v>0.05</v>
      </c>
      <c r="I113" s="129">
        <v>0.15</v>
      </c>
      <c r="J113" s="44"/>
      <c r="K113" s="44"/>
      <c r="L113" s="44"/>
      <c r="M113" s="44"/>
      <c r="N113" s="44"/>
      <c r="O113" s="44"/>
      <c r="P113" s="44"/>
      <c r="Q113" s="44"/>
      <c r="R113" s="44"/>
      <c r="S113" s="44"/>
      <c r="T113" s="44"/>
      <c r="U113" s="44"/>
      <c r="V113" s="44"/>
      <c r="W113" s="44"/>
      <c r="X113" s="44"/>
      <c r="Y113" s="44"/>
      <c r="Z113" s="44"/>
    </row>
    <row r="114" spans="1:26" ht="12.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2.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2.75" customHeight="1">
      <c r="A116" s="44"/>
      <c r="B116" s="44"/>
      <c r="C116" s="182" t="s">
        <v>1041</v>
      </c>
      <c r="D116" s="183"/>
      <c r="E116" s="183"/>
      <c r="F116" s="183"/>
      <c r="G116" s="183"/>
      <c r="H116" s="44"/>
      <c r="I116" s="44"/>
      <c r="J116" s="44"/>
      <c r="K116" s="44"/>
      <c r="L116" s="44"/>
      <c r="M116" s="44"/>
      <c r="N116" s="44"/>
      <c r="O116" s="44"/>
      <c r="P116" s="44"/>
      <c r="Q116" s="44"/>
      <c r="R116" s="44"/>
      <c r="S116" s="44"/>
      <c r="T116" s="44"/>
      <c r="U116" s="44"/>
      <c r="V116" s="44"/>
      <c r="W116" s="44"/>
      <c r="X116" s="44"/>
      <c r="Y116" s="44"/>
      <c r="Z116" s="44"/>
    </row>
    <row r="117" spans="1:26" ht="12.75" customHeight="1">
      <c r="A117" s="44"/>
      <c r="B117" s="44"/>
      <c r="C117" s="84" t="s">
        <v>1042</v>
      </c>
      <c r="D117" s="84" t="s">
        <v>534</v>
      </c>
      <c r="E117" s="84" t="s">
        <v>1043</v>
      </c>
      <c r="F117" s="84" t="s">
        <v>1044</v>
      </c>
      <c r="G117" s="84" t="s">
        <v>642</v>
      </c>
      <c r="H117" s="44"/>
      <c r="I117" s="44"/>
      <c r="J117" s="44"/>
      <c r="K117" s="44"/>
      <c r="L117" s="44"/>
      <c r="M117" s="44"/>
      <c r="N117" s="44"/>
      <c r="O117" s="44"/>
      <c r="P117" s="44"/>
      <c r="Q117" s="44"/>
      <c r="R117" s="44"/>
      <c r="S117" s="44"/>
      <c r="T117" s="44"/>
      <c r="U117" s="44"/>
      <c r="V117" s="44"/>
      <c r="W117" s="44"/>
      <c r="X117" s="44"/>
      <c r="Y117" s="44"/>
      <c r="Z117" s="44"/>
    </row>
    <row r="118" spans="1:26" ht="12.75" customHeight="1">
      <c r="A118" s="44"/>
      <c r="B118" s="44"/>
      <c r="C118" s="99" t="s">
        <v>1038</v>
      </c>
      <c r="D118" s="98">
        <v>100</v>
      </c>
      <c r="E118" s="45">
        <f>VLOOKUP(C118,C111:D113,2,FALSE)</f>
        <v>2</v>
      </c>
      <c r="F118" s="130">
        <f>VLOOKUP(D118,F111:I113,MATCH(C118,G110:I110,0)+1,TRUE)</f>
        <v>0.06</v>
      </c>
      <c r="G118" s="45">
        <f t="shared" ref="G118:G123" si="0">(D118*E118)-(D118*E118*F118)</f>
        <v>188</v>
      </c>
      <c r="H118" s="44"/>
      <c r="I118" s="44"/>
      <c r="J118" s="44"/>
      <c r="K118" s="44"/>
      <c r="L118" s="44"/>
      <c r="M118" s="44"/>
      <c r="N118" s="44"/>
      <c r="O118" s="44"/>
      <c r="P118" s="44"/>
      <c r="Q118" s="44"/>
      <c r="R118" s="44"/>
      <c r="S118" s="44"/>
      <c r="T118" s="44"/>
      <c r="U118" s="44"/>
      <c r="V118" s="44"/>
      <c r="W118" s="44"/>
      <c r="X118" s="44"/>
      <c r="Y118" s="44"/>
      <c r="Z118" s="44"/>
    </row>
    <row r="119" spans="1:26" ht="12.75" customHeight="1">
      <c r="A119" s="44"/>
      <c r="B119" s="44"/>
      <c r="C119" s="99" t="s">
        <v>1039</v>
      </c>
      <c r="D119" s="98">
        <v>200</v>
      </c>
      <c r="E119" s="45">
        <f>VLOOKUP(C119,C111:D113,2,FALSE)</f>
        <v>1</v>
      </c>
      <c r="F119" s="130">
        <f>VLOOKUP(D119,F111:I113,MATCH(C119,G110:I110,0)+1,TRUE)</f>
        <v>0.03</v>
      </c>
      <c r="G119" s="45">
        <f t="shared" si="0"/>
        <v>194</v>
      </c>
      <c r="H119" s="44"/>
      <c r="I119" s="44"/>
      <c r="J119" s="44"/>
      <c r="K119" s="44"/>
      <c r="L119" s="44"/>
      <c r="M119" s="44"/>
      <c r="N119" s="44"/>
      <c r="O119" s="44"/>
      <c r="P119" s="44"/>
      <c r="Q119" s="44"/>
      <c r="R119" s="44"/>
      <c r="S119" s="44"/>
      <c r="T119" s="44"/>
      <c r="U119" s="44"/>
      <c r="V119" s="44"/>
      <c r="W119" s="44"/>
      <c r="X119" s="44"/>
      <c r="Y119" s="44"/>
      <c r="Z119" s="44"/>
    </row>
    <row r="120" spans="1:26" ht="12.75" customHeight="1">
      <c r="A120" s="44"/>
      <c r="B120" s="44"/>
      <c r="C120" s="99" t="s">
        <v>1040</v>
      </c>
      <c r="D120" s="98">
        <v>150</v>
      </c>
      <c r="E120" s="45">
        <f>VLOOKUP(C120,C111:D113,2,FALSE)</f>
        <v>3</v>
      </c>
      <c r="F120" s="130">
        <f>VLOOKUP(D120,F111:I113,MATCH(C120,G110:I110,0)+1,TRUE)</f>
        <v>0.12</v>
      </c>
      <c r="G120" s="45">
        <f t="shared" si="0"/>
        <v>396</v>
      </c>
      <c r="H120" s="44"/>
      <c r="I120" s="44"/>
      <c r="J120" s="44"/>
      <c r="K120" s="44"/>
      <c r="L120" s="44"/>
      <c r="M120" s="44"/>
      <c r="N120" s="44"/>
      <c r="O120" s="44"/>
      <c r="P120" s="44"/>
      <c r="Q120" s="44"/>
      <c r="R120" s="44"/>
      <c r="S120" s="44"/>
      <c r="T120" s="44"/>
      <c r="U120" s="44"/>
      <c r="V120" s="44"/>
      <c r="W120" s="44"/>
      <c r="X120" s="44"/>
      <c r="Y120" s="44"/>
      <c r="Z120" s="44"/>
    </row>
    <row r="121" spans="1:26" ht="12.75" customHeight="1">
      <c r="A121" s="44"/>
      <c r="B121" s="44"/>
      <c r="C121" s="99" t="s">
        <v>1038</v>
      </c>
      <c r="D121" s="98">
        <v>225</v>
      </c>
      <c r="E121" s="45">
        <f>VLOOKUP(C121,C111:D113,2,FALSE)</f>
        <v>2</v>
      </c>
      <c r="F121" s="130">
        <f>VLOOKUP(D121,F111:I113,MATCH(C121,G110:I110,0)+1,TRUE)</f>
        <v>0.06</v>
      </c>
      <c r="G121" s="45">
        <f t="shared" si="0"/>
        <v>423</v>
      </c>
      <c r="H121" s="44"/>
      <c r="I121" s="44"/>
      <c r="J121" s="44"/>
      <c r="K121" s="44"/>
      <c r="L121" s="44"/>
      <c r="M121" s="44"/>
      <c r="N121" s="44"/>
      <c r="O121" s="44"/>
      <c r="P121" s="44"/>
      <c r="Q121" s="44"/>
      <c r="R121" s="44"/>
      <c r="S121" s="44"/>
      <c r="T121" s="44"/>
      <c r="U121" s="44"/>
      <c r="V121" s="44"/>
      <c r="W121" s="44"/>
      <c r="X121" s="44"/>
      <c r="Y121" s="44"/>
      <c r="Z121" s="44"/>
    </row>
    <row r="122" spans="1:26" ht="12.75" customHeight="1">
      <c r="A122" s="44"/>
      <c r="B122" s="44"/>
      <c r="C122" s="99" t="s">
        <v>1039</v>
      </c>
      <c r="D122" s="98">
        <v>50</v>
      </c>
      <c r="E122" s="45">
        <f>VLOOKUP(C122,C111:D113,2,FALSE)</f>
        <v>1</v>
      </c>
      <c r="F122" s="130">
        <f>VLOOKUP(D122,F111:I113,MATCH(C122,G110:I110,0)+1,TRUE)</f>
        <v>0</v>
      </c>
      <c r="G122" s="45">
        <f t="shared" si="0"/>
        <v>50</v>
      </c>
      <c r="H122" s="44"/>
      <c r="I122" s="44"/>
      <c r="J122" s="44"/>
      <c r="K122" s="44"/>
      <c r="L122" s="44"/>
      <c r="M122" s="44"/>
      <c r="N122" s="44"/>
      <c r="O122" s="44"/>
      <c r="P122" s="44"/>
      <c r="Q122" s="44"/>
      <c r="R122" s="44"/>
      <c r="S122" s="44"/>
      <c r="T122" s="44"/>
      <c r="U122" s="44"/>
      <c r="V122" s="44"/>
      <c r="W122" s="44"/>
      <c r="X122" s="44"/>
      <c r="Y122" s="44"/>
      <c r="Z122" s="44"/>
    </row>
    <row r="123" spans="1:26" ht="12.75" customHeight="1">
      <c r="A123" s="44"/>
      <c r="B123" s="44"/>
      <c r="C123" s="99" t="s">
        <v>1040</v>
      </c>
      <c r="D123" s="98">
        <v>500</v>
      </c>
      <c r="E123" s="45">
        <f>VLOOKUP(C123,C111:D113,2,FALSE)</f>
        <v>3</v>
      </c>
      <c r="F123" s="130">
        <f>VLOOKUP(D123,F111:I113,MATCH(C123,G110:I110,0)+1,TRUE)</f>
        <v>0.15</v>
      </c>
      <c r="G123" s="45">
        <f t="shared" si="0"/>
        <v>1275</v>
      </c>
      <c r="H123" s="44"/>
      <c r="I123" s="44"/>
      <c r="J123" s="44"/>
      <c r="K123" s="44"/>
      <c r="L123" s="44"/>
      <c r="M123" s="44"/>
      <c r="N123" s="44"/>
      <c r="O123" s="44"/>
      <c r="P123" s="44"/>
      <c r="Q123" s="44"/>
      <c r="R123" s="44"/>
      <c r="S123" s="44"/>
      <c r="T123" s="44"/>
      <c r="U123" s="44"/>
      <c r="V123" s="44"/>
      <c r="W123" s="44"/>
      <c r="X123" s="44"/>
      <c r="Y123" s="44"/>
      <c r="Z123" s="44"/>
    </row>
    <row r="124" spans="1:26" ht="12.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2.75" customHeight="1">
      <c r="A125" s="44"/>
      <c r="B125" s="44" t="s">
        <v>1045</v>
      </c>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2.75" customHeight="1">
      <c r="A126" s="44"/>
      <c r="B126" s="44" t="s">
        <v>1043</v>
      </c>
      <c r="C126" s="90" t="s">
        <v>1046</v>
      </c>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2.75" customHeight="1">
      <c r="A127" s="44"/>
      <c r="B127" s="44" t="s">
        <v>1044</v>
      </c>
      <c r="C127" s="90" t="s">
        <v>1047</v>
      </c>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2.75" customHeight="1">
      <c r="A128" s="44"/>
      <c r="B128" s="44" t="s">
        <v>642</v>
      </c>
      <c r="C128" s="90" t="s">
        <v>1048</v>
      </c>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2.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2.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2.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2.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2.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2.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2.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2.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2.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2.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2.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2.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2.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2.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2.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2.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2.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2.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2.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2.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2.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2.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2.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2.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2.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2.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2.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2.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2.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2.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2.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2.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2.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2.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2.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2.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2.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2.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2.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2.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2.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2.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2.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2.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2.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2.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2.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2.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2.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2.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2.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2.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2.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2.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2.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2.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2.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2.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2.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2.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2.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2.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2.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2.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2.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2.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2.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2.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2.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2.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2.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2.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2.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2.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2.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2.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2.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2.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2.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2.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2.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2.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2.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2.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2.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2.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2.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2.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2.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2.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2.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2.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2.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2.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2.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2.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2.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2.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2.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2.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2.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2.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2.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2.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2.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2.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2.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2.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2.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2.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2.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2.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2.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2.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2.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2.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2.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2.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2.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2.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2.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12.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12.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12.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12.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12.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12.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12.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12.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12.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12.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12.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12.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12.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12.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12.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12.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12.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12.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12.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12.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12.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12.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12.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12.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12.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12.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12.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12.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12.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12.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12.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12.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12.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12.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12.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12.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12.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12.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12.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12.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12.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12.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12.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12.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12.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12.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12.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12.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12.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12.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12.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12.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12.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12.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12.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12.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12.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12.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12.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12.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12.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12.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12.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12.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12.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12.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12.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12.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12.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12.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12.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12.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12.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12.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12.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12.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12.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12.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12.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15.75" customHeight="1"/>
    <row r="330" spans="1:26" ht="15.75" customHeight="1"/>
    <row r="331" spans="1:26" ht="15.75" customHeight="1"/>
    <row r="332" spans="1:26" ht="15.75" customHeight="1"/>
    <row r="333" spans="1:26" ht="15.75" customHeight="1"/>
    <row r="334" spans="1:26" ht="15.75" customHeight="1"/>
    <row r="335" spans="1:26" ht="15.75" customHeight="1"/>
    <row r="336" spans="1:2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G109:I109"/>
    <mergeCell ref="C110:D110"/>
    <mergeCell ref="C116:G116"/>
  </mergeCells>
  <pageMargins left="0.75" right="0.75" top="1" bottom="1" header="0" footer="0"/>
  <pageSetup orientation="landscape"/>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Z1000"/>
  <sheetViews>
    <sheetView workbookViewId="0"/>
  </sheetViews>
  <sheetFormatPr defaultColWidth="14.42578125" defaultRowHeight="15" customHeight="1"/>
  <cols>
    <col min="1" max="1" width="4.7109375" customWidth="1"/>
    <col min="2" max="10" width="9.140625" customWidth="1"/>
    <col min="11" max="11" width="5.28515625" customWidth="1"/>
    <col min="12" max="12" width="30.140625" customWidth="1"/>
    <col min="13" max="13" width="8.85546875" customWidth="1"/>
    <col min="14" max="26" width="8.7109375" customWidth="1"/>
  </cols>
  <sheetData>
    <row r="1" spans="1:26" ht="12.75" customHeight="1">
      <c r="A1" s="79" t="str">
        <f ca="1">MID(CELL("filename",A1),FIND("]",CELL("filename",A1))+1,256)</f>
        <v>Hlookup</v>
      </c>
      <c r="B1" s="80"/>
      <c r="C1" s="80"/>
      <c r="D1" s="80"/>
      <c r="E1" s="80"/>
      <c r="F1" s="80"/>
      <c r="G1" s="80"/>
      <c r="H1" s="80"/>
      <c r="I1" s="80"/>
      <c r="J1" s="80"/>
      <c r="K1" s="81"/>
      <c r="L1" s="44"/>
      <c r="M1" s="44"/>
      <c r="N1" s="44"/>
      <c r="O1" s="44"/>
      <c r="P1" s="44"/>
      <c r="Q1" s="44"/>
      <c r="R1" s="44"/>
      <c r="S1" s="44"/>
      <c r="T1" s="44"/>
      <c r="U1" s="44"/>
      <c r="V1" s="44"/>
      <c r="W1" s="44"/>
      <c r="X1" s="44"/>
      <c r="Y1" s="44"/>
      <c r="Z1" s="44"/>
    </row>
    <row r="2" spans="1:26" ht="12.75" customHeight="1">
      <c r="A2" s="44"/>
      <c r="B2" s="44"/>
      <c r="C2" s="44"/>
      <c r="D2" s="44"/>
      <c r="E2" s="44"/>
      <c r="F2" s="44"/>
      <c r="G2" s="44"/>
      <c r="H2" s="44"/>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12.75" customHeight="1">
      <c r="A5" s="44"/>
      <c r="B5" s="44"/>
      <c r="C5" s="44"/>
      <c r="D5" s="44"/>
      <c r="E5" s="44"/>
      <c r="F5" s="44"/>
      <c r="G5" s="44"/>
      <c r="H5" s="44"/>
      <c r="I5" s="44"/>
      <c r="J5" s="44"/>
      <c r="K5" s="44"/>
      <c r="L5" s="44"/>
      <c r="M5" s="44"/>
      <c r="N5" s="44"/>
      <c r="O5" s="44"/>
      <c r="P5" s="44"/>
      <c r="Q5" s="44"/>
      <c r="R5" s="44"/>
      <c r="S5" s="44"/>
      <c r="T5" s="44"/>
      <c r="U5" s="44"/>
      <c r="V5" s="44"/>
      <c r="W5" s="44"/>
      <c r="X5" s="44"/>
      <c r="Y5" s="44"/>
      <c r="Z5" s="44"/>
    </row>
    <row r="6" spans="1:26" ht="12.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12.75" customHeight="1">
      <c r="A7" s="44"/>
      <c r="B7" s="44"/>
      <c r="C7" s="44"/>
      <c r="D7" s="44"/>
      <c r="E7" s="44"/>
      <c r="F7" s="44"/>
      <c r="G7" s="44"/>
      <c r="H7" s="44"/>
      <c r="I7" s="44"/>
      <c r="J7" s="44"/>
      <c r="K7" s="44"/>
      <c r="L7" s="44"/>
      <c r="M7" s="44"/>
      <c r="N7" s="44"/>
      <c r="O7" s="44"/>
      <c r="P7" s="44"/>
      <c r="Q7" s="44"/>
      <c r="R7" s="44"/>
      <c r="S7" s="44"/>
      <c r="T7" s="44"/>
      <c r="U7" s="44"/>
      <c r="V7" s="44"/>
      <c r="W7" s="44"/>
      <c r="X7" s="44"/>
      <c r="Y7" s="44"/>
      <c r="Z7" s="44"/>
    </row>
    <row r="8" spans="1:26" ht="12.75" customHeight="1">
      <c r="A8" s="44"/>
      <c r="B8" s="44"/>
      <c r="C8" s="44"/>
      <c r="D8" s="44"/>
      <c r="E8" s="44"/>
      <c r="F8" s="44"/>
      <c r="G8" s="44"/>
      <c r="H8" s="44"/>
      <c r="I8" s="44"/>
      <c r="J8" s="44"/>
      <c r="K8" s="44"/>
      <c r="L8" s="44"/>
      <c r="M8" s="44"/>
      <c r="N8" s="44"/>
      <c r="O8" s="44"/>
      <c r="P8" s="44"/>
      <c r="Q8" s="44"/>
      <c r="R8" s="44"/>
      <c r="S8" s="44"/>
      <c r="T8" s="44"/>
      <c r="U8" s="44"/>
      <c r="V8" s="44"/>
      <c r="W8" s="44"/>
      <c r="X8" s="44"/>
      <c r="Y8" s="44"/>
      <c r="Z8" s="44"/>
    </row>
    <row r="9" spans="1:26" ht="12.75" customHeight="1">
      <c r="A9" s="44"/>
      <c r="B9" s="44"/>
      <c r="C9" s="44"/>
      <c r="D9" s="44"/>
      <c r="E9" s="44"/>
      <c r="F9" s="44"/>
      <c r="G9" s="44"/>
      <c r="H9" s="44"/>
      <c r="I9" s="44"/>
      <c r="J9" s="44"/>
      <c r="K9" s="44"/>
      <c r="L9" s="44"/>
      <c r="M9" s="44"/>
      <c r="N9" s="44"/>
      <c r="O9" s="44"/>
      <c r="P9" s="44"/>
      <c r="Q9" s="44"/>
      <c r="R9" s="44"/>
      <c r="S9" s="44"/>
      <c r="T9" s="44"/>
      <c r="U9" s="44"/>
      <c r="V9" s="44"/>
      <c r="W9" s="44"/>
      <c r="X9" s="44"/>
      <c r="Y9" s="44"/>
      <c r="Z9" s="44"/>
    </row>
    <row r="10" spans="1:26" ht="12.75" customHeight="1">
      <c r="A10" s="131"/>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spans="1:26" ht="12.75" customHeight="1">
      <c r="A11" s="44"/>
      <c r="B11" s="44"/>
      <c r="C11" s="44"/>
      <c r="D11" s="44"/>
      <c r="E11" s="44"/>
      <c r="F11" s="44"/>
      <c r="G11" s="44"/>
      <c r="H11" s="44"/>
      <c r="I11" s="44"/>
      <c r="J11" s="44"/>
      <c r="K11" s="132" t="s">
        <v>974</v>
      </c>
      <c r="L11" s="132" t="s">
        <v>11</v>
      </c>
      <c r="M11" s="132" t="s">
        <v>49</v>
      </c>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95" t="s">
        <v>976</v>
      </c>
      <c r="L12" s="96" t="s">
        <v>1049</v>
      </c>
      <c r="M12" s="95" t="s">
        <v>978</v>
      </c>
      <c r="N12" s="44"/>
      <c r="O12" s="44"/>
      <c r="P12" s="44"/>
      <c r="Q12" s="44"/>
      <c r="R12" s="44"/>
      <c r="S12" s="44"/>
      <c r="T12" s="44"/>
      <c r="U12" s="44"/>
      <c r="V12" s="44"/>
      <c r="W12" s="44"/>
      <c r="X12" s="44"/>
      <c r="Y12" s="44"/>
      <c r="Z12" s="44"/>
    </row>
    <row r="13" spans="1:26" ht="12.75" customHeight="1">
      <c r="A13" s="44"/>
      <c r="B13" s="44"/>
      <c r="C13" s="44"/>
      <c r="D13" s="44"/>
      <c r="E13" s="44"/>
      <c r="F13" s="44"/>
      <c r="G13" s="44"/>
      <c r="H13" s="44"/>
      <c r="I13" s="44"/>
      <c r="J13" s="44"/>
      <c r="K13" s="95" t="s">
        <v>980</v>
      </c>
      <c r="L13" s="96" t="s">
        <v>1050</v>
      </c>
      <c r="M13" s="95" t="s">
        <v>982</v>
      </c>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95" t="s">
        <v>983</v>
      </c>
      <c r="L14" s="96" t="s">
        <v>1051</v>
      </c>
      <c r="M14" s="95">
        <v>18</v>
      </c>
      <c r="N14" s="44"/>
      <c r="O14" s="44"/>
      <c r="P14" s="44"/>
      <c r="Q14" s="44"/>
      <c r="R14" s="44"/>
      <c r="S14" s="44"/>
      <c r="T14" s="44"/>
      <c r="U14" s="44"/>
      <c r="V14" s="44"/>
      <c r="W14" s="44"/>
      <c r="X14" s="44"/>
      <c r="Y14" s="44"/>
      <c r="Z14" s="44"/>
    </row>
    <row r="15" spans="1:26" ht="12.75" customHeight="1">
      <c r="A15" s="44"/>
      <c r="B15" s="44"/>
      <c r="C15" s="44"/>
      <c r="D15" s="44"/>
      <c r="E15" s="44"/>
      <c r="F15" s="44"/>
      <c r="G15" s="44"/>
      <c r="H15" s="44"/>
      <c r="I15" s="44"/>
      <c r="J15" s="44"/>
      <c r="K15" s="95" t="s">
        <v>980</v>
      </c>
      <c r="L15" s="96" t="s">
        <v>1052</v>
      </c>
      <c r="M15" s="95" t="e">
        <v>#N/A</v>
      </c>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1:26" ht="12.75" customHeight="1">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spans="1:26" ht="12.75"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12.75" customHeight="1">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ht="12.75" customHeight="1">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ht="12.75" customHeight="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spans="1:26" ht="12.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ht="12.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ht="12.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ht="12.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12.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12.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12.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ht="12.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12.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2.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ht="12.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ht="12.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ht="12.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ht="12.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12.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12.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12.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12.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12.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12.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12.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12.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12.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12.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12.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12.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12.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12.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12.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12.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12.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12.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12.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12.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12.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12.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12.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12.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12.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2.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2.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2.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2.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2.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2.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2.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2.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2.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2.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2.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2.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2.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2.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2.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2.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2.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2.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2.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2.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2.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2.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2.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2.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2.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2.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2.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2.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2.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2.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2.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2.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2.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2.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2.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2.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2.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2.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2.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2.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2.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2.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2.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2.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2.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2.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2.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2.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2.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2.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2.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2.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2.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2.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2.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2.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2.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2.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2.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2.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2.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2.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2.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2.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2.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2.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2.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2.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2.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2.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2.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2.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2.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2.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2.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2.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2.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2.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2.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2.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2.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2.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2.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2.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2.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2.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2.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2.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2.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2.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2.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2.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2.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2.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2.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2.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2.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2.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2.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2.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2.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2.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2.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2.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2.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2.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2.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2.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2.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2.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2.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2.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2.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2.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2.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2.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2.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2.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2.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2.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2.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2.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2.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2.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2.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2.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2.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2.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2.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2.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2.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2.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2.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2.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2.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2.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2.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2.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2.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2.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2.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2.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2.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2.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2.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2.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2.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2.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2.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2.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2.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2.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2.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2.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2.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2.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2.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2.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2.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2.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Z1000"/>
  <sheetViews>
    <sheetView workbookViewId="0"/>
  </sheetViews>
  <sheetFormatPr defaultColWidth="14.42578125" defaultRowHeight="15" customHeight="1"/>
  <cols>
    <col min="1" max="1" width="3.5703125" customWidth="1"/>
    <col min="2" max="10" width="9.140625" customWidth="1"/>
    <col min="11" max="25" width="8.7109375" customWidth="1"/>
  </cols>
  <sheetData>
    <row r="1" spans="1:26" ht="12.75" customHeight="1">
      <c r="A1" s="79" t="str">
        <f ca="1">MID(CELL("filename",A1),FIND("]",CELL("filename",A1))+1,256)</f>
        <v>Transpose</v>
      </c>
      <c r="B1" s="80"/>
      <c r="C1" s="80"/>
      <c r="D1" s="80"/>
      <c r="E1" s="80"/>
      <c r="F1" s="80"/>
      <c r="G1" s="80"/>
      <c r="H1" s="80"/>
      <c r="I1" s="80"/>
      <c r="J1" s="80"/>
      <c r="K1" s="44"/>
      <c r="L1" s="44"/>
      <c r="M1" s="44"/>
      <c r="N1" s="44"/>
      <c r="O1" s="44"/>
      <c r="P1" s="44"/>
      <c r="Q1" s="44"/>
      <c r="R1" s="44"/>
      <c r="S1" s="44"/>
      <c r="T1" s="44"/>
      <c r="U1" s="44"/>
      <c r="V1" s="44"/>
      <c r="W1" s="44"/>
      <c r="X1" s="44"/>
      <c r="Y1" s="44"/>
      <c r="Z1" s="44"/>
    </row>
    <row r="2" spans="1:26" ht="12.75" customHeight="1">
      <c r="A2" s="44"/>
      <c r="B2" s="133" t="s">
        <v>595</v>
      </c>
      <c r="C2" s="44"/>
      <c r="D2" s="44"/>
      <c r="E2" s="44"/>
      <c r="F2" s="44"/>
      <c r="G2" s="44"/>
      <c r="H2" s="44"/>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134" t="s">
        <v>1053</v>
      </c>
      <c r="C4" s="135" t="s">
        <v>609</v>
      </c>
      <c r="D4" s="135" t="s">
        <v>610</v>
      </c>
      <c r="E4" s="44"/>
      <c r="F4" s="44"/>
      <c r="G4" s="44"/>
      <c r="H4" s="44"/>
      <c r="I4" s="44"/>
      <c r="J4" s="44"/>
      <c r="K4" s="44"/>
      <c r="L4" s="44"/>
      <c r="M4" s="44"/>
      <c r="N4" s="44"/>
      <c r="O4" s="44"/>
      <c r="P4" s="44"/>
      <c r="Q4" s="44"/>
      <c r="R4" s="44"/>
      <c r="S4" s="44"/>
      <c r="T4" s="44"/>
      <c r="U4" s="44"/>
      <c r="V4" s="44"/>
      <c r="W4" s="44"/>
      <c r="X4" s="44"/>
      <c r="Y4" s="44"/>
      <c r="Z4" s="44"/>
    </row>
    <row r="5" spans="1:26" ht="12.75" customHeight="1">
      <c r="A5" s="44"/>
      <c r="B5" s="136" t="s">
        <v>1054</v>
      </c>
      <c r="C5" s="85">
        <v>10</v>
      </c>
      <c r="D5" s="85">
        <v>30</v>
      </c>
      <c r="E5" s="44"/>
      <c r="F5" s="44"/>
      <c r="G5" s="44"/>
      <c r="H5" s="44"/>
      <c r="I5" s="44"/>
      <c r="J5" s="44"/>
      <c r="K5" s="44"/>
      <c r="L5" s="44"/>
      <c r="M5" s="44"/>
      <c r="N5" s="44"/>
      <c r="O5" s="44"/>
      <c r="P5" s="44"/>
      <c r="Q5" s="44"/>
      <c r="R5" s="44"/>
      <c r="S5" s="44"/>
      <c r="T5" s="44"/>
      <c r="U5" s="44"/>
      <c r="V5" s="44"/>
      <c r="W5" s="44"/>
      <c r="X5" s="44"/>
      <c r="Y5" s="44"/>
      <c r="Z5" s="44"/>
    </row>
    <row r="6" spans="1:26" ht="12.75" customHeight="1">
      <c r="A6" s="44"/>
      <c r="B6" s="136" t="s">
        <v>1055</v>
      </c>
      <c r="C6" s="85">
        <v>40</v>
      </c>
      <c r="D6" s="85">
        <v>50</v>
      </c>
      <c r="E6" s="137"/>
      <c r="F6" s="137"/>
      <c r="G6" s="137"/>
      <c r="H6" s="137"/>
      <c r="I6" s="137"/>
      <c r="J6" s="44"/>
      <c r="K6" s="44"/>
      <c r="L6" s="44"/>
      <c r="M6" s="44"/>
      <c r="N6" s="44"/>
      <c r="O6" s="44"/>
      <c r="P6" s="44"/>
      <c r="Q6" s="44"/>
      <c r="R6" s="44"/>
      <c r="S6" s="44"/>
      <c r="T6" s="44"/>
      <c r="U6" s="44"/>
      <c r="V6" s="44"/>
      <c r="W6" s="44"/>
      <c r="X6" s="44"/>
      <c r="Y6" s="44"/>
      <c r="Z6" s="44"/>
    </row>
    <row r="7" spans="1:26" ht="12.75" customHeight="1">
      <c r="A7" s="44"/>
      <c r="B7" s="136" t="s">
        <v>1056</v>
      </c>
      <c r="C7" s="85">
        <v>70</v>
      </c>
      <c r="D7" s="85">
        <v>80</v>
      </c>
      <c r="E7" s="137"/>
      <c r="F7" s="137"/>
      <c r="G7" s="137"/>
      <c r="H7" s="137"/>
      <c r="I7" s="137"/>
      <c r="J7" s="44"/>
      <c r="K7" s="44"/>
      <c r="L7" s="44"/>
      <c r="M7" s="44"/>
      <c r="N7" s="44"/>
      <c r="O7" s="44"/>
      <c r="P7" s="44"/>
      <c r="Q7" s="44"/>
      <c r="R7" s="44"/>
      <c r="S7" s="44"/>
      <c r="T7" s="44"/>
      <c r="U7" s="44"/>
      <c r="V7" s="44"/>
      <c r="W7" s="44"/>
      <c r="X7" s="44"/>
      <c r="Y7" s="44"/>
      <c r="Z7" s="44"/>
    </row>
    <row r="8" spans="1:26" ht="12.75" customHeight="1">
      <c r="A8" s="138"/>
      <c r="B8" s="139"/>
      <c r="C8" s="139"/>
      <c r="D8" s="139"/>
      <c r="E8" s="137"/>
      <c r="F8" s="137"/>
      <c r="G8" s="137"/>
      <c r="H8" s="137"/>
      <c r="I8" s="137"/>
      <c r="J8" s="138"/>
      <c r="K8" s="138"/>
      <c r="L8" s="138"/>
      <c r="M8" s="138"/>
      <c r="N8" s="138"/>
      <c r="O8" s="138"/>
      <c r="P8" s="138"/>
      <c r="Q8" s="138"/>
      <c r="R8" s="138"/>
      <c r="S8" s="138"/>
      <c r="T8" s="138"/>
      <c r="U8" s="138"/>
      <c r="V8" s="138"/>
      <c r="W8" s="138"/>
      <c r="X8" s="138"/>
      <c r="Y8" s="138"/>
      <c r="Z8" s="138"/>
    </row>
    <row r="9" spans="1:26" ht="12.75" customHeight="1">
      <c r="A9" s="44"/>
      <c r="B9" s="44"/>
      <c r="C9" s="44"/>
      <c r="D9" s="44"/>
      <c r="E9" s="137"/>
      <c r="F9" s="137"/>
      <c r="G9" s="137"/>
      <c r="H9" s="137"/>
      <c r="I9" s="137"/>
      <c r="J9" s="44"/>
      <c r="K9" s="44"/>
      <c r="L9" s="44"/>
      <c r="M9" s="44"/>
      <c r="N9" s="44"/>
      <c r="O9" s="44"/>
      <c r="P9" s="44"/>
      <c r="Q9" s="44"/>
      <c r="R9" s="44"/>
      <c r="S9" s="44"/>
      <c r="T9" s="44"/>
      <c r="U9" s="44"/>
      <c r="V9" s="44"/>
      <c r="W9" s="44"/>
      <c r="X9" s="44"/>
      <c r="Y9" s="44"/>
      <c r="Z9" s="44"/>
    </row>
    <row r="10" spans="1:26" ht="12.75" customHeight="1">
      <c r="A10" s="44"/>
      <c r="B10" s="90" t="s">
        <v>1057</v>
      </c>
      <c r="C10" s="44"/>
      <c r="D10" s="44"/>
      <c r="E10" s="137"/>
      <c r="F10" s="137"/>
      <c r="G10" s="137"/>
      <c r="H10" s="137"/>
      <c r="I10" s="137"/>
      <c r="J10" s="44"/>
      <c r="K10" s="44"/>
      <c r="L10" s="44"/>
      <c r="M10" s="44"/>
      <c r="N10" s="44"/>
      <c r="O10" s="44"/>
      <c r="P10" s="44"/>
      <c r="Q10" s="44"/>
      <c r="R10" s="44"/>
      <c r="S10" s="44"/>
      <c r="T10" s="44"/>
      <c r="U10" s="44"/>
      <c r="V10" s="44"/>
      <c r="W10" s="44"/>
      <c r="X10" s="44"/>
      <c r="Y10" s="44"/>
      <c r="Z10" s="44"/>
    </row>
    <row r="11" spans="1:26" ht="12.75" customHeight="1">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spans="1:26" ht="12.75" customHeight="1">
      <c r="A12" s="44"/>
      <c r="B12" s="135" t="str">
        <f t="array" ref="B12:E12">TRANSPOSE(B4:B7)</f>
        <v>Cust ID</v>
      </c>
      <c r="C12" s="136" t="str">
        <v>A001</v>
      </c>
      <c r="D12" s="136" t="str">
        <v>A002</v>
      </c>
      <c r="E12" s="136" t="str">
        <v>A003</v>
      </c>
      <c r="F12" s="97"/>
      <c r="G12" s="44"/>
      <c r="H12" s="44"/>
      <c r="I12" s="44"/>
      <c r="J12" s="44"/>
      <c r="K12" s="44"/>
      <c r="L12" s="44"/>
      <c r="M12" s="44"/>
      <c r="N12" s="44"/>
      <c r="O12" s="44"/>
      <c r="P12" s="44"/>
      <c r="Q12" s="44"/>
      <c r="R12" s="44"/>
      <c r="S12" s="44"/>
      <c r="T12" s="44"/>
      <c r="U12" s="44"/>
      <c r="V12" s="44"/>
      <c r="W12" s="44"/>
      <c r="X12" s="44"/>
      <c r="Y12" s="44"/>
      <c r="Z12" s="44"/>
    </row>
    <row r="13" spans="1:26" ht="12.75" customHeight="1">
      <c r="A13" s="44"/>
      <c r="B13" s="135" t="str">
        <f t="array" ref="B13:E13">TRANSPOSE(C4:C7)</f>
        <v>Jan</v>
      </c>
      <c r="C13" s="89">
        <v>10</v>
      </c>
      <c r="D13" s="89">
        <v>40</v>
      </c>
      <c r="E13" s="89">
        <v>70</v>
      </c>
      <c r="F13" s="97"/>
      <c r="G13" s="44"/>
      <c r="H13" s="44"/>
      <c r="I13" s="44"/>
      <c r="J13" s="44"/>
      <c r="K13" s="44"/>
      <c r="L13" s="44"/>
      <c r="M13" s="44"/>
      <c r="N13" s="44"/>
      <c r="O13" s="44"/>
      <c r="P13" s="44"/>
      <c r="Q13" s="44"/>
      <c r="R13" s="44"/>
      <c r="S13" s="44"/>
      <c r="T13" s="44"/>
      <c r="U13" s="44"/>
      <c r="V13" s="44"/>
      <c r="W13" s="44"/>
      <c r="X13" s="44"/>
      <c r="Y13" s="44"/>
      <c r="Z13" s="44"/>
    </row>
    <row r="14" spans="1:26" ht="12.75" customHeight="1">
      <c r="A14" s="44"/>
      <c r="B14" s="135" t="str">
        <f t="array" ref="B14:E14">TRANSPOSE(D4:D7)</f>
        <v>Feb</v>
      </c>
      <c r="C14" s="89">
        <v>30</v>
      </c>
      <c r="D14" s="89">
        <v>50</v>
      </c>
      <c r="E14" s="89">
        <v>80</v>
      </c>
      <c r="F14" s="97"/>
      <c r="G14" s="44"/>
      <c r="H14" s="44"/>
      <c r="I14" s="44"/>
      <c r="J14" s="44"/>
      <c r="K14" s="44"/>
      <c r="L14" s="44"/>
      <c r="M14" s="44"/>
      <c r="N14" s="44"/>
      <c r="O14" s="44"/>
      <c r="P14" s="44"/>
      <c r="Q14" s="44"/>
      <c r="R14" s="44"/>
      <c r="S14" s="44"/>
      <c r="T14" s="44"/>
      <c r="U14" s="44"/>
      <c r="V14" s="44"/>
      <c r="W14" s="44"/>
      <c r="X14" s="44"/>
      <c r="Y14" s="44"/>
      <c r="Z14" s="44"/>
    </row>
    <row r="15" spans="1:26" ht="12.75" customHeight="1">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spans="1:26" ht="12.75" customHeight="1">
      <c r="A16" s="44"/>
      <c r="B16" s="44"/>
      <c r="C16" s="44"/>
      <c r="D16" s="140" t="s">
        <v>1058</v>
      </c>
      <c r="E16" s="44"/>
      <c r="F16" s="44"/>
      <c r="G16" s="44"/>
      <c r="H16" s="44"/>
      <c r="I16" s="44"/>
      <c r="J16" s="44"/>
      <c r="K16" s="44"/>
      <c r="L16" s="44"/>
      <c r="M16" s="44"/>
      <c r="N16" s="44"/>
      <c r="O16" s="44"/>
      <c r="P16" s="44"/>
      <c r="Q16" s="44"/>
      <c r="R16" s="44"/>
      <c r="S16" s="44"/>
      <c r="T16" s="44"/>
      <c r="U16" s="44"/>
      <c r="V16" s="44"/>
      <c r="W16" s="44"/>
      <c r="X16" s="44"/>
      <c r="Y16" s="44"/>
      <c r="Z16" s="44"/>
    </row>
    <row r="17" spans="1:26" ht="12.75" customHeight="1">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spans="1:26" ht="12.75" customHeight="1">
      <c r="A18" s="44"/>
      <c r="B18" s="92" t="s">
        <v>964</v>
      </c>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12.75" customHeight="1">
      <c r="A19" s="44"/>
      <c r="B19" s="90" t="s">
        <v>1059</v>
      </c>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ht="12.75" customHeight="1">
      <c r="A20" s="44"/>
      <c r="B20" s="44" t="s">
        <v>600</v>
      </c>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ht="12.75" customHeight="1">
      <c r="A21" s="44"/>
      <c r="B21" s="44" t="s">
        <v>601</v>
      </c>
      <c r="C21" s="44"/>
      <c r="D21" s="44"/>
      <c r="E21" s="44"/>
      <c r="F21" s="44"/>
      <c r="G21" s="44"/>
      <c r="H21" s="44"/>
      <c r="I21" s="44"/>
      <c r="J21" s="44"/>
      <c r="K21" s="44"/>
      <c r="L21" s="44"/>
      <c r="M21" s="44"/>
      <c r="N21" s="44"/>
      <c r="O21" s="44"/>
      <c r="P21" s="44"/>
      <c r="Q21" s="44"/>
      <c r="R21" s="44"/>
      <c r="S21" s="44"/>
      <c r="T21" s="44"/>
      <c r="U21" s="44"/>
      <c r="V21" s="44"/>
      <c r="W21" s="44"/>
      <c r="X21" s="44"/>
      <c r="Y21" s="44"/>
      <c r="Z21" s="44"/>
    </row>
    <row r="22" spans="1:26" ht="12.75" customHeight="1">
      <c r="A22" s="44"/>
      <c r="B22" s="44" t="s">
        <v>602</v>
      </c>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ht="12.75" customHeight="1">
      <c r="A23" s="44"/>
      <c r="B23" s="44" t="s">
        <v>603</v>
      </c>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ht="12.75" customHeight="1">
      <c r="A24" s="44"/>
      <c r="B24" s="44" t="s">
        <v>604</v>
      </c>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ht="12.75" customHeight="1">
      <c r="A25" s="44"/>
      <c r="B25" s="44" t="s">
        <v>605</v>
      </c>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12.75" customHeight="1">
      <c r="A26" s="44"/>
      <c r="B26" s="44" t="s">
        <v>606</v>
      </c>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12.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12.75" customHeight="1">
      <c r="A28" s="44"/>
      <c r="B28" s="92" t="s">
        <v>3</v>
      </c>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ht="12.75" customHeight="1">
      <c r="A29" s="44"/>
      <c r="B29" s="93" t="s">
        <v>1060</v>
      </c>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12.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2.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ht="12.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ht="12.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ht="12.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ht="12.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12.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12.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12.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12.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12.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12.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12.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12.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12.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12.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12.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12.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12.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12.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12.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12.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12.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12.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12.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12.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12.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12.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12.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12.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12.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2.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2.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2.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2.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2.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2.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2.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2.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2.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2.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2.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2.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2.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2.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2.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2.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2.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2.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2.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2.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2.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2.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2.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2.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2.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2.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2.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2.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2.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2.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2.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2.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2.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2.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2.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2.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2.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2.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2.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2.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2.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2.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2.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2.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2.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2.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2.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2.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2.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2.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2.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2.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2.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2.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2.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2.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2.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2.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2.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2.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2.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2.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2.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2.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2.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2.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2.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2.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2.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2.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2.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2.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2.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2.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2.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2.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2.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2.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2.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2.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2.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2.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2.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2.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2.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2.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2.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2.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2.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2.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2.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2.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2.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2.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2.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2.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2.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2.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2.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2.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2.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2.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2.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2.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2.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2.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2.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2.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2.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2.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2.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2.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2.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2.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2.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2.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2.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2.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2.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2.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2.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2.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2.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2.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2.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2.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2.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2.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2.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2.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2.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2.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2.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2.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2.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2.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2.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2.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2.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2.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2.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2.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2.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2.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2.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2.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2.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2.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2.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2.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2.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2.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2.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2.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2.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2.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2.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2.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2.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2.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2.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2.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2.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2.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2.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2.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2.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2.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2.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Logical - IF</vt:lpstr>
      <vt:lpstr>Logical - AND</vt:lpstr>
      <vt:lpstr>Logical - Nested IFs</vt:lpstr>
      <vt:lpstr>Logical - OR</vt:lpstr>
      <vt:lpstr>Logical - IFERROR</vt:lpstr>
      <vt:lpstr>Logical - IFNA</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TRANSPOSE</vt:lpstr>
      <vt:lpstr>Lookup - MATCH</vt:lpstr>
      <vt:lpstr>MATH - SUM</vt:lpstr>
      <vt:lpstr>MATH - SUMIF</vt:lpstr>
      <vt:lpstr>MATH - SUMPRODUCT</vt:lpstr>
      <vt:lpstr>MATH - RAND</vt:lpstr>
      <vt:lpstr>MATH - RANDBETWEEN</vt:lpstr>
      <vt:lpstr>MATH - ROUND</vt:lpstr>
      <vt:lpstr>MATH - EVEN</vt:lpstr>
      <vt:lpstr>MATH - ODD</vt:lpstr>
      <vt:lpstr>MATH - MOD</vt:lpstr>
      <vt:lpstr>STATISTICAL - MIN</vt:lpstr>
      <vt:lpstr>STATISTICAL - MAX</vt:lpstr>
      <vt:lpstr>STATISTICAL - AVERAGE</vt:lpstr>
      <vt:lpstr>STATISTICAL - SMALL</vt:lpstr>
      <vt:lpstr>STATISTICAL - LARGE</vt:lpstr>
      <vt:lpstr>STATISTICAL - COUNT</vt:lpstr>
      <vt:lpstr>STATISTICAL - COUNTIF</vt:lpstr>
      <vt:lpstr>STATISTICAL - STDEV</vt:lpstr>
      <vt:lpstr>STATISTICAL - CORREL</vt:lpstr>
      <vt:lpstr>STATISTICAL - MEDIAN</vt:lpstr>
      <vt:lpstr>FINANCIAL functions</vt:lpstr>
      <vt:lpstr>VlookUp</vt:lpstr>
      <vt:lpstr>Hlookup</vt:lpstr>
      <vt:lpstr>Transpose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vincent</dc:creator>
  <cp:lastModifiedBy>carl mhyke vital</cp:lastModifiedBy>
  <dcterms:created xsi:type="dcterms:W3CDTF">2026-02-26T14:21:39Z</dcterms:created>
  <dcterms:modified xsi:type="dcterms:W3CDTF">2026-02-26T14:21:39Z</dcterms:modified>
</cp:coreProperties>
</file>