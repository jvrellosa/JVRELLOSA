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Pictures\jvr\"/>
    </mc:Choice>
  </mc:AlternateContent>
  <bookViews>
    <workbookView xWindow="0" yWindow="0" windowWidth="28800" windowHeight="12300" activeTab="2"/>
  </bookViews>
  <sheets>
    <sheet name="Sheet4" sheetId="5" r:id="rId1"/>
    <sheet name="Sheet5" sheetId="6" r:id="rId2"/>
    <sheet name="Sheet3" sheetId="4" r:id="rId3"/>
    <sheet name="Bike Sales" sheetId="1" r:id="rId4"/>
  </sheets>
  <calcPr calcId="162913"/>
  <pivotCaches>
    <pivotCache cacheId="8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<sst xmlns="http://schemas.openxmlformats.org/spreadsheetml/2006/main" count="967" uniqueCount="163">
  <si>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</si>
  <si>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</si>
  <si>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</si>
  <si>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</si>
  <si>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</si>
  <si>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</si>
  <si>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</si>
  <si>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</si>
  <si>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</si>
  <si>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</si>
  <si>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</si>
  <si>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</si>
  <si>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</si>
  <si>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</si>
  <si>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</si>
  <si>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</si>
  <si>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</si>
  <si>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</si>
  <si>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</si>
  <si>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</si>
  <si>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</si>
  <si>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</si>
  <si>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</si>
  <si>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</si>
  <si>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</si>
  <si>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</si>
  <si>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</si>
  <si>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</si>
  <si>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</si>
  <si>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</si>
  <si>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</si>
  <si>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</si>
  <si>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</si>
  <si>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</si>
  <si>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</si>
  <si>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</si>
  <si>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</si>
  <si>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</si>
  <si>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</si>
  <si>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</si>
  <si>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</si>
  <si>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</si>
  <si>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</si>
  <si>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</si>
  <si>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</si>
  <si>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</si>
  <si>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</si>
  <si>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</si>
  <si>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</si>
  <si>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</si>
  <si>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</si>
  <si>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</si>
  <si>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</si>
  <si>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</si>
  <si>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</si>
  <si>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</si>
  <si>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</si>
  <si>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</si>
  <si>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</si>
  <si>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</si>
  <si>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</si>
  <si>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</si>
  <si>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</si>
  <si>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</si>
  <si>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</si>
  <si>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</si>
  <si>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</si>
  <si>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</si>
  <si>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</si>
  <si>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</si>
  <si>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</si>
  <si>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</si>
  <si>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</si>
  <si>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</si>
  <si>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</si>
  <si>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</si>
  <si>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</si>
  <si>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</si>
  <si>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</si>
  <si>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</si>
  <si>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</si>
  <si>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</si>
  <si>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</si>
  <si>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</si>
  <si>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</si>
  <si>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</si>
  <si>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</si>
  <si>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</si>
  <si>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</si>
  <si>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</si>
  <si>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</si>
  <si>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</si>
  <si>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</si>
  <si>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</si>
  <si>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</si>
  <si>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</si>
  <si>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</si>
  <si>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</si>
  <si>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</si>
  <si>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</si>
  <si>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</si>
  <si>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</si>
  <si>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</si>
  <si>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</si>
  <si>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</si>
  <si>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</si>
  <si>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</si>
  <si>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</si>
  <si>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</si>
  <si>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</si>
  <si>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</si>
  <si>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</si>
  <si>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</si>
  <si>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</si>
  <si>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</si>
  <si>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</si>
  <si>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</si>
  <si>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</si>
  <si>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</si>
  <si>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</si>
  <si>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</si>
  <si>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</si>
  <si>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</si>
  <si>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</si>
  <si>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</si>
  <si>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</si>
  <si>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</si>
  <si>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</si>
  <si>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</si>
  <si>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</si>
  <si>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</si>
  <si>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</si>
  <si>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</si>
  <si>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</si>
  <si>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</si>
  <si>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</si>
  <si>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</si>
  <si>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</si>
  <si>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</si>
  <si>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</si>
  <si>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</si>
  <si>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</si>
  <si>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</si>
  <si>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</si>
  <si>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</si>
  <si>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</si>
  <si>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</si>
  <si>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</si>
  <si>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</si>
  <si>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</si>
  <si>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</si>
  <si>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</si>
  <si>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</si>
  <si>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</si>
  <si>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</si>
  <si>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</si>
  <si>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</si>
  <si>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</si>
  <si>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Column Labels</t>
  </si>
  <si>
    <t>Grand Total</t>
  </si>
  <si>
    <t>Row Labels</t>
  </si>
  <si>
    <t>Sum of Order_Quantity</t>
  </si>
  <si>
    <t xml:space="preserve">Sum of 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</si>
</sst>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 applyFill="1" applyBorder="1" applyAlignment="1"/>
    <xf numFmtId="0" fontId="20" fillId="0" borderId="0" xfId="0" applyFont="1" applyFill="1" applyBorder="1" applyAlignme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[BSPivotLab(jvrellosa).xlsx]Sheet3!PivotTable18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5-436F-B2E9-0E602483A6F6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3"/>
                <c:pt idx="0">
                  <c:v>0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05-436F-B2E9-0E602483A6F6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Sheet3!$D$5:$D$8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05-436F-B2E9-0E602483A6F6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Sheet3!$E$5:$E$8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05-436F-B2E9-0E602483A6F6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Sheet3!$F$5:$F$8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05-436F-B2E9-0E602483A6F6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Sheet3!$G$5:$G$8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05-436F-B2E9-0E602483A6F6}"/>
            </c:ext>
          </c:extLst>
        </c:ser>
        <c:ser>
          <c:idx val="6"/>
          <c:order val="6"/>
          <c:tx>
            <c:strRef>
              <c:f>Sheet3!$H$3:$H$4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Sheet3!$H$5:$H$8</c:f>
              <c:numCache>
                <c:formatCode>General</c:formatCode>
                <c:ptCount val="3"/>
                <c:pt idx="0">
                  <c:v>0</c:v>
                </c:pt>
                <c:pt idx="1">
                  <c:v>16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05-436F-B2E9-0E602483A6F6}"/>
            </c:ext>
          </c:extLst>
        </c:ser>
        <c:ser>
          <c:idx val="7"/>
          <c:order val="7"/>
          <c:tx>
            <c:strRef>
              <c:f>Sheet3!$I$3:$I$4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Sheet3!$I$5:$I$8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05-436F-B2E9-0E602483A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18192"/>
        <c:axId val="11120272"/>
      </c:barChart>
      <c:catAx>
        <c:axId val="1111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272"/>
        <c:crosses val="autoZero"/>
        <c:auto val="1"/>
        <c:lblAlgn val="ctr"/>
        <c:lblOffset val="100"/>
        <c:noMultiLvlLbl val="0"/>
      </c:catAx>
      <c:valAx>
        <c:axId val="1112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252412</xdr:colOff>
      <xdr:row>2</xdr:row>
      <xdr:rowOff>38100</xdr:rowOff>
    </xdr:from>
    <xdr:to>
      <xdr:col>14</xdr:col>
      <xdr:colOff>600075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MLAB" refreshedDate="46073.513999189818" createdVersion="6" refreshedVersion="6" minRefreshableVersion="3" recordCount="88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 count="1">
        <s v="December"/>
      </sharedItems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">
  <r>
    <s v="000261696"/>
    <d v="2021-12-01T00:00:00"/>
    <n v="1"/>
    <x v="0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695"/>
    <d v="2021-12-01T00:00:00"/>
    <n v="1"/>
    <x v="0"/>
    <x v="0"/>
    <n v="44"/>
    <x v="0"/>
    <x v="1"/>
    <x v="1"/>
    <s v="England"/>
    <s v="Bikes"/>
    <s v="Mountain Bikes"/>
    <s v="Mountain-200 Silver, 42"/>
    <x v="1"/>
    <n v="1266"/>
    <n v="2320"/>
    <n v="1054"/>
    <n v="1266"/>
    <n v="2320"/>
  </r>
  <r>
    <s v="000261697"/>
    <d v="2021-12-02T00:00:00"/>
    <n v="2"/>
    <x v="0"/>
    <x v="0"/>
    <n v="37"/>
    <x v="0"/>
    <x v="1"/>
    <x v="0"/>
    <s v="California"/>
    <s v="Bikes"/>
    <s v="Mountain Bikes"/>
    <s v="Mountain-400-W Silver, 46"/>
    <x v="2"/>
    <n v="420"/>
    <n v="769"/>
    <n v="698"/>
    <n v="840"/>
    <n v="1538"/>
  </r>
  <r>
    <s v="000261698"/>
    <d v="2021-12-02T00:00:00"/>
    <n v="2"/>
    <x v="0"/>
    <x v="0"/>
    <n v="31"/>
    <x v="1"/>
    <x v="0"/>
    <x v="2"/>
    <s v="New South Wales"/>
    <s v="Bikes"/>
    <s v="Mountain Bikes"/>
    <s v="Mountain-400-W Silver, 42"/>
    <x v="1"/>
    <n v="420"/>
    <n v="769"/>
    <n v="349"/>
    <n v="420"/>
    <n v="769"/>
  </r>
  <r>
    <s v="000261699"/>
    <d v="2021-12-03T00:00:00"/>
    <n v="3"/>
    <x v="0"/>
    <x v="0"/>
    <n v="37"/>
    <x v="0"/>
    <x v="0"/>
    <x v="3"/>
    <s v="California"/>
    <s v="Bikes"/>
    <s v="Mountain Bikes"/>
    <s v="Mountain-200 Black, 46"/>
    <x v="2"/>
    <n v="1252"/>
    <n v="2295"/>
    <n v="2086"/>
    <n v="2504"/>
    <n v="4590"/>
  </r>
  <r>
    <s v="000261700"/>
    <d v="2021-12-03T00:00:00"/>
    <n v="3"/>
    <x v="0"/>
    <x v="0"/>
    <n v="24"/>
    <x v="2"/>
    <x v="0"/>
    <x v="1"/>
    <s v="England"/>
    <s v="Bikes"/>
    <s v="Mountain Bikes"/>
    <s v="Mountain-200 Black, 38"/>
    <x v="1"/>
    <n v="1252"/>
    <n v="2295"/>
    <n v="1043"/>
    <n v="1252"/>
    <n v="2295"/>
  </r>
  <r>
    <s v="000261701"/>
    <d v="2021-12-03T00:00:00"/>
    <n v="3"/>
    <x v="0"/>
    <x v="0"/>
    <n v="37"/>
    <x v="0"/>
    <x v="1"/>
    <x v="4"/>
    <s v="Washington"/>
    <s v="Bikes"/>
    <s v="Mountain Bikes"/>
    <s v="Mountain-200 Black, 46"/>
    <x v="1"/>
    <n v="1252"/>
    <n v="2295"/>
    <n v="1043"/>
    <n v="1252"/>
    <n v="2295"/>
  </r>
  <r>
    <s v="000261702"/>
    <d v="2021-12-04T00:00:00"/>
    <n v="4"/>
    <x v="0"/>
    <x v="0"/>
    <n v="31"/>
    <x v="1"/>
    <x v="0"/>
    <x v="2"/>
    <s v="New South Wales"/>
    <s v="Bikes"/>
    <s v="Mountain Bikes"/>
    <s v="Mountain-400-W Silver, 42"/>
    <x v="0"/>
    <n v="420"/>
    <n v="769"/>
    <n v="1396"/>
    <n v="1680"/>
    <n v="3076"/>
  </r>
  <r>
    <s v="000261703"/>
    <d v="2021-12-05T00:00:00"/>
    <n v="5"/>
    <x v="0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04"/>
    <d v="2021-12-05T00:00:00"/>
    <m/>
    <x v="0"/>
    <x v="0"/>
    <n v="42"/>
    <x v="0"/>
    <x v="1"/>
    <x v="5"/>
    <s v="Nordrhein-Westfalen"/>
    <s v="Bikes"/>
    <s v="Mountain Bikes"/>
    <s v="Mountain-200 Black, 38"/>
    <x v="0"/>
    <n v="1252"/>
    <n v="2295"/>
    <n v="4172"/>
    <n v="5008"/>
    <n v="9180"/>
  </r>
  <r>
    <s v="000261705"/>
    <d v="2021-12-05T00:00:00"/>
    <n v="5"/>
    <x v="0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06"/>
    <d v="2021-12-05T00:00:00"/>
    <n v="5"/>
    <x v="0"/>
    <x v="0"/>
    <n v="37"/>
    <x v="0"/>
    <x v="0"/>
    <x v="0"/>
    <s v="California"/>
    <s v="Bikes"/>
    <s v="Mountain Bikes"/>
    <s v="Mountain-200 Black, 46"/>
    <x v="1"/>
    <n v="1252"/>
    <n v="2295"/>
    <n v="1043"/>
    <n v="1252"/>
    <n v="2295"/>
  </r>
  <r>
    <s v="000261707"/>
    <d v="2021-12-06T00:00:00"/>
    <n v="6"/>
    <x v="0"/>
    <x v="0"/>
    <n v="23"/>
    <x v="2"/>
    <x v="1"/>
    <x v="1"/>
    <s v="England"/>
    <s v="Bikes"/>
    <s v="Mountain Bikes"/>
    <s v="Mountain-400-W Silver, 46"/>
    <x v="3"/>
    <n v="420"/>
    <n v="769"/>
    <n v="1047"/>
    <n v="1260"/>
    <n v="2307"/>
  </r>
  <r>
    <s v="000261708"/>
    <d v="2021-12-06T00:00:00"/>
    <n v="6"/>
    <x v="0"/>
    <x v="0"/>
    <n v="27"/>
    <x v="1"/>
    <x v="1"/>
    <x v="6"/>
    <s v="British Columbia"/>
    <s v="Bikes"/>
    <s v="Mountain Bikes"/>
    <s v="Mountain-200 Black, 46"/>
    <x v="1"/>
    <n v="1252"/>
    <n v="2295"/>
    <n v="1043"/>
    <n v="1252"/>
    <n v="2295"/>
  </r>
  <r>
    <s v="000261709"/>
    <d v="2021-12-06T00:00:00"/>
    <n v="6"/>
    <x v="0"/>
    <x v="0"/>
    <n v="36"/>
    <x v="0"/>
    <x v="1"/>
    <x v="2"/>
    <s v="New South Wales"/>
    <s v="Bikes"/>
    <s v="Mountain Bikes"/>
    <s v="Mountain-200 Black, 42"/>
    <x v="1"/>
    <n v="1252"/>
    <n v="2295"/>
    <n v="1043"/>
    <n v="1252"/>
    <n v="2295"/>
  </r>
  <r>
    <s v="000261710"/>
    <d v="2021-12-06T00:00:00"/>
    <n v="6"/>
    <x v="0"/>
    <x v="0"/>
    <n v="47"/>
    <x v="0"/>
    <x v="1"/>
    <x v="1"/>
    <s v="England"/>
    <s v="Bikes"/>
    <s v="Mountain Bikes"/>
    <s v="Mountain-200 Silver, 38"/>
    <x v="1"/>
    <n v="1266"/>
    <n v="2320"/>
    <n v="1054"/>
    <n v="1266"/>
    <n v="2320"/>
  </r>
  <r>
    <s v="000261711"/>
    <d v="2021-12-07T00:00:00"/>
    <n v="7"/>
    <x v="0"/>
    <x v="0"/>
    <n v="30"/>
    <x v="1"/>
    <x v="1"/>
    <x v="0"/>
    <s v="California"/>
    <s v="Bikes"/>
    <s v="Mountain Bikes"/>
    <s v="Mountain-400-W Silver, 38"/>
    <x v="0"/>
    <n v="420"/>
    <n v="769"/>
    <n v="1396"/>
    <n v="1680"/>
    <n v="3076"/>
  </r>
  <r>
    <s v="000261712"/>
    <d v="2021-12-07T00:00:00"/>
    <n v="7"/>
    <x v="0"/>
    <x v="0"/>
    <n v="38"/>
    <x v="0"/>
    <x v="1"/>
    <x v="0"/>
    <s v="California"/>
    <s v="Bikes"/>
    <s v="Mountain Bikes"/>
    <s v="Mountain-200 Silver, 42"/>
    <x v="2"/>
    <n v="1266"/>
    <n v="2320"/>
    <n v="2108"/>
    <n v="2532"/>
    <n v="4640"/>
  </r>
  <r>
    <s v="000261713"/>
    <d v="2021-12-08T00:00:00"/>
    <n v="8"/>
    <x v="0"/>
    <x v="0"/>
    <n v="19"/>
    <x v="2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14"/>
    <d v="2021-12-08T00:00:00"/>
    <n v="8"/>
    <x v="0"/>
    <x v="0"/>
    <n v="30"/>
    <x v="1"/>
    <x v="0"/>
    <x v="6"/>
    <s v="British Columbia"/>
    <s v="Bikes"/>
    <s v="Mountain Bikes"/>
    <s v="Mountain-200 Silver, 38"/>
    <x v="0"/>
    <n v="1266"/>
    <n v="2320"/>
    <n v="4216"/>
    <n v="5064"/>
    <n v="9280"/>
  </r>
  <r>
    <s v="000261715"/>
    <d v="2021-12-08T00:00:00"/>
    <n v="8"/>
    <x v="0"/>
    <x v="0"/>
    <n v="39"/>
    <x v="0"/>
    <x v="0"/>
    <x v="0"/>
    <s v="Oregon"/>
    <s v="Bikes"/>
    <s v="Mountain Bikes"/>
    <s v="Mountain-500 Black, 42"/>
    <x v="2"/>
    <n v="1252"/>
    <n v="2295"/>
    <n v="2086"/>
    <n v="2504"/>
    <n v="4590"/>
  </r>
  <r>
    <s v="000261716"/>
    <d v="2021-12-08T00:00:00"/>
    <n v="8"/>
    <x v="0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17"/>
    <d v="2021-12-09T00:00:00"/>
    <n v="9"/>
    <x v="0"/>
    <x v="0"/>
    <n v="33"/>
    <x v="1"/>
    <x v="0"/>
    <x v="2"/>
    <s v="Victoria"/>
    <s v="Bikes"/>
    <s v="Mountain Bikes"/>
    <s v="Mountain-100 Black, 38"/>
    <x v="2"/>
    <n v="1898"/>
    <n v="3375"/>
    <n v="2954"/>
    <n v="3796"/>
    <n v="6750"/>
  </r>
  <r>
    <s v="000261718"/>
    <d v="2021-12-09T00:00:00"/>
    <n v="9"/>
    <x v="0"/>
    <x v="0"/>
    <n v="41"/>
    <x v="0"/>
    <x v="0"/>
    <x v="5"/>
    <s v="Hamburg"/>
    <s v="Bikes"/>
    <s v="Mountain Bikes"/>
    <s v="Mountain-200 Silver, 42"/>
    <x v="1"/>
    <n v="1266"/>
    <n v="2320"/>
    <n v="1054"/>
    <n v="1266"/>
    <n v="2320"/>
  </r>
  <r>
    <s v="000261719"/>
    <d v="2021-12-10T00:00:00"/>
    <n v="10"/>
    <x v="0"/>
    <x v="0"/>
    <n v="34"/>
    <x v="1"/>
    <x v="0"/>
    <x v="0"/>
    <s v="California"/>
    <s v="Bikes"/>
    <s v="Mountain Bikes"/>
    <s v="Mountain-200 Black, 42"/>
    <x v="2"/>
    <n v="1252"/>
    <n v="2295"/>
    <n v="2086"/>
    <n v="2504"/>
    <n v="4590"/>
  </r>
  <r>
    <s v="000261720"/>
    <d v="2021-12-10T00:00:00"/>
    <n v="10"/>
    <x v="0"/>
    <x v="0"/>
    <n v="40"/>
    <x v="0"/>
    <x v="1"/>
    <x v="2"/>
    <s v="New South Wales"/>
    <s v="Bikes"/>
    <s v="Mountain Bikes"/>
    <s v="Mountain-200 Black, 42"/>
    <x v="2"/>
    <n v="1252"/>
    <n v="2295"/>
    <n v="2086"/>
    <n v="2504"/>
    <n v="4590"/>
  </r>
  <r>
    <s v="000261721"/>
    <d v="2021-12-10T00:00:00"/>
    <n v="10"/>
    <x v="0"/>
    <x v="0"/>
    <n v="26"/>
    <x v="1"/>
    <x v="1"/>
    <x v="1"/>
    <s v="England"/>
    <s v="Bikes"/>
    <s v="Mountain Bikes"/>
    <s v="Mountain-200 Black, 38"/>
    <x v="1"/>
    <n v="1252"/>
    <n v="2295"/>
    <n v="1043"/>
    <n v="1252"/>
    <n v="2295"/>
  </r>
  <r>
    <s v="000261722"/>
    <d v="2021-12-10T00:00:00"/>
    <n v="10"/>
    <x v="0"/>
    <x v="0"/>
    <n v="34"/>
    <x v="1"/>
    <x v="1"/>
    <x v="0"/>
    <s v="California"/>
    <s v="Bikes"/>
    <s v="Mountain Bikes"/>
    <s v="Mountain-500 Black, 40"/>
    <x v="1"/>
    <n v="295"/>
    <n v="540"/>
    <n v="245"/>
    <n v="295"/>
    <n v="540"/>
  </r>
  <r>
    <s v="000261723"/>
    <d v="2021-12-10T00:00:00"/>
    <n v="10"/>
    <x v="0"/>
    <x v="0"/>
    <n v="34"/>
    <x v="1"/>
    <x v="0"/>
    <x v="0"/>
    <s v="Washington"/>
    <s v="Bikes"/>
    <s v="Mountain Bikes"/>
    <s v="Mountain-100 Silver, 44"/>
    <x v="1"/>
    <n v="1912"/>
    <n v="3400"/>
    <n v="1488"/>
    <n v="1912"/>
    <n v="3400"/>
  </r>
  <r>
    <s v="000261724"/>
    <d v="2021-12-10T00:00:00"/>
    <n v="10"/>
    <x v="0"/>
    <x v="0"/>
    <n v="38"/>
    <x v="0"/>
    <x v="1"/>
    <x v="2"/>
    <s v="New South Wales"/>
    <s v="Bikes"/>
    <s v="Mountain Bikes"/>
    <s v="Mountain-200 Black, 38"/>
    <x v="1"/>
    <n v="1252"/>
    <n v="2295"/>
    <n v="1043"/>
    <n v="1252"/>
    <n v="2295"/>
  </r>
  <r>
    <s v="000261725"/>
    <d v="2021-12-11T00:00:00"/>
    <n v="11"/>
    <x v="0"/>
    <x v="0"/>
    <n v="24"/>
    <x v="2"/>
    <x v="0"/>
    <x v="7"/>
    <s v="Seine (Paris)"/>
    <s v="Bikes"/>
    <s v="Mountain Bikes"/>
    <s v="Mountain-200 Black, 38"/>
    <x v="3"/>
    <n v="1252"/>
    <n v="2295"/>
    <n v="3129"/>
    <n v="3756"/>
    <n v="6885"/>
  </r>
  <r>
    <s v="000261726"/>
    <d v="2021-12-11T00:00:00"/>
    <n v="11"/>
    <x v="0"/>
    <x v="0"/>
    <n v="41"/>
    <x v="0"/>
    <x v="0"/>
    <x v="2"/>
    <s v="New South Wales"/>
    <s v="Bikes"/>
    <s v="Mountain Bikes"/>
    <s v="Mountain-400-W Silver, 38"/>
    <x v="2"/>
    <n v="420"/>
    <n v="769"/>
    <n v="698"/>
    <n v="840"/>
    <n v="1538"/>
  </r>
  <r>
    <s v="000261727"/>
    <d v="2021-12-11T00:00:00"/>
    <n v="11"/>
    <x v="0"/>
    <x v="0"/>
    <n v="27"/>
    <x v="1"/>
    <x v="1"/>
    <x v="6"/>
    <s v="British Columbia"/>
    <s v="Bikes"/>
    <s v="Mountain Bikes"/>
    <s v="Mountain-200 Black, 46"/>
    <x v="1"/>
    <n v="1252"/>
    <n v="2295"/>
    <n v="1043"/>
    <n v="1252"/>
    <n v="2295"/>
  </r>
  <r>
    <s v="000261728"/>
    <d v="2021-12-11T00:00:00"/>
    <n v="11"/>
    <x v="0"/>
    <x v="0"/>
    <n v="37"/>
    <x v="0"/>
    <x v="1"/>
    <x v="0"/>
    <s v="California"/>
    <s v="Bikes"/>
    <s v="Mountain Bikes"/>
    <s v="Mountain-400-W Silver, 46"/>
    <x v="1"/>
    <n v="420"/>
    <n v="769"/>
    <n v="349"/>
    <n v="420"/>
    <n v="769"/>
  </r>
  <r>
    <s v="000261729"/>
    <d v="2021-12-11T00:00:00"/>
    <n v="11"/>
    <x v="0"/>
    <x v="0"/>
    <n v="38"/>
    <x v="0"/>
    <x v="0"/>
    <x v="0"/>
    <s v="California"/>
    <s v="Bikes"/>
    <s v="Mountain Bikes"/>
    <s v="Mountain-200 Silver, 38"/>
    <x v="1"/>
    <n v="1266"/>
    <n v="2320"/>
    <n v="1054"/>
    <n v="1266"/>
    <n v="2320"/>
  </r>
  <r>
    <s v="000261730"/>
    <d v="2021-12-12T00:00:00"/>
    <n v="12"/>
    <x v="0"/>
    <x v="0"/>
    <n v="36"/>
    <x v="0"/>
    <x v="0"/>
    <x v="2"/>
    <s v="New South Wales"/>
    <s v="Bikes"/>
    <s v="Mountain Bikes"/>
    <s v="Mountain-200 Silver, 42"/>
    <x v="0"/>
    <n v="1266"/>
    <n v="2320"/>
    <n v="4216"/>
    <n v="5064"/>
    <n v="9280"/>
  </r>
  <r>
    <s v="000261731"/>
    <d v="2021-12-12T00:00:00"/>
    <n v="12"/>
    <x v="0"/>
    <x v="0"/>
    <n v="37"/>
    <x v="0"/>
    <x v="1"/>
    <x v="0"/>
    <s v="California"/>
    <s v="Bikes"/>
    <s v="Mountain Bikes"/>
    <s v="Mountain-400-W Silver, 46"/>
    <x v="0"/>
    <n v="420"/>
    <n v="769"/>
    <n v="1396"/>
    <n v="1680"/>
    <n v="3076"/>
  </r>
  <r>
    <s v="000261732"/>
    <d v="2021-12-12T00:00:00"/>
    <n v="12"/>
    <x v="0"/>
    <x v="0"/>
    <n v="34"/>
    <x v="1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33"/>
    <d v="2021-12-12T00:00:00"/>
    <n v="12"/>
    <x v="0"/>
    <x v="0"/>
    <n v="35"/>
    <x v="0"/>
    <x v="0"/>
    <x v="2"/>
    <s v="Victoria"/>
    <s v="Bikes"/>
    <s v="Mountain Bikes"/>
    <s v="Mountain-200 Silver, 42"/>
    <x v="1"/>
    <n v="1266"/>
    <n v="2320"/>
    <n v="1054"/>
    <n v="1266"/>
    <n v="2320"/>
  </r>
  <r>
    <s v="000261734"/>
    <d v="2021-12-12T00:00:00"/>
    <n v="12"/>
    <x v="0"/>
    <x v="0"/>
    <n v="38"/>
    <x v="0"/>
    <x v="0"/>
    <x v="0"/>
    <s v="Washington"/>
    <s v="Bikes"/>
    <s v="Mountain Bikes"/>
    <s v="Mountain-200 Silver, 42"/>
    <x v="1"/>
    <n v="1266"/>
    <n v="2320"/>
    <n v="1054"/>
    <n v="1266"/>
    <n v="2320"/>
  </r>
  <r>
    <s v="000261735"/>
    <d v="2021-12-13T00:00:00"/>
    <n v="13"/>
    <x v="0"/>
    <x v="0"/>
    <n v="32"/>
    <x v="1"/>
    <x v="0"/>
    <x v="2"/>
    <s v="Queensland"/>
    <s v="Bikes"/>
    <s v="Mountain Bikes"/>
    <s v="Mountain-200 Silver, 42"/>
    <x v="3"/>
    <n v="1266"/>
    <n v="2320"/>
    <n v="3162"/>
    <n v="3798"/>
    <n v="6960"/>
  </r>
  <r>
    <s v="000261736"/>
    <d v="2021-12-13T00:00:00"/>
    <n v="13"/>
    <x v="0"/>
    <x v="0"/>
    <n v="40"/>
    <x v="0"/>
    <x v="0"/>
    <x v="0"/>
    <s v="California"/>
    <s v="Bikes"/>
    <s v="Mountain Bikes"/>
    <s v="Mountain-500 Silver, 40"/>
    <x v="1"/>
    <n v="308"/>
    <n v="565"/>
    <n v="257"/>
    <n v="308"/>
    <n v="565"/>
  </r>
  <r>
    <s v="000261737"/>
    <d v="2021-12-13T00:00:00"/>
    <n v="13"/>
    <x v="0"/>
    <x v="0"/>
    <n v="44"/>
    <x v="0"/>
    <x v="0"/>
    <x v="1"/>
    <s v="England"/>
    <s v="Bikes"/>
    <s v="Mountain Bikes"/>
    <s v="Mountain-200 Black, 38"/>
    <x v="1"/>
    <n v="1252"/>
    <n v="2295"/>
    <n v="1043"/>
    <n v="1252"/>
    <n v="2295"/>
  </r>
  <r>
    <s v="000261738"/>
    <d v="2021-12-13T00:00:00"/>
    <n v="13"/>
    <x v="0"/>
    <x v="0"/>
    <n v="49"/>
    <x v="0"/>
    <x v="1"/>
    <x v="1"/>
    <s v="England"/>
    <s v="Bikes"/>
    <s v="Mountain Bikes"/>
    <s v="Mountain-200 Black, 38"/>
    <x v="1"/>
    <n v="1252"/>
    <n v="2295"/>
    <n v="1043"/>
    <n v="1252"/>
    <n v="2295"/>
  </r>
  <r>
    <s v="000261739"/>
    <d v="2021-12-14T00:00:00"/>
    <n v="14"/>
    <x v="0"/>
    <x v="0"/>
    <n v="30"/>
    <x v="1"/>
    <x v="0"/>
    <x v="0"/>
    <s v="Washington"/>
    <s v="Bikes"/>
    <s v="Mountain Bikes"/>
    <s v="Mountain-200 Silver, 38"/>
    <x v="2"/>
    <n v="1266"/>
    <n v="2320"/>
    <n v="2108"/>
    <n v="2532"/>
    <n v="4640"/>
  </r>
  <r>
    <s v="000261740"/>
    <d v="2021-12-14T00:00:00"/>
    <n v="14"/>
    <x v="0"/>
    <x v="0"/>
    <n v="32"/>
    <x v="1"/>
    <x v="1"/>
    <x v="0"/>
    <s v="California"/>
    <s v="Bikes"/>
    <s v="Mountain Bikes"/>
    <s v="Mountain-200 Black, 46"/>
    <x v="1"/>
    <n v="1252"/>
    <n v="2295"/>
    <n v="1043"/>
    <n v="1252"/>
    <n v="2295"/>
  </r>
  <r>
    <s v="000261741"/>
    <d v="2021-12-14T00:00:00"/>
    <n v="14"/>
    <x v="0"/>
    <x v="0"/>
    <n v="32"/>
    <x v="1"/>
    <x v="0"/>
    <x v="2"/>
    <s v="Victoria"/>
    <s v="Bikes"/>
    <s v="Mountain Bikes"/>
    <s v="Mountain-400-W Silver, 46"/>
    <x v="1"/>
    <n v="420"/>
    <n v="769"/>
    <n v="349"/>
    <n v="420"/>
    <n v="769"/>
  </r>
  <r>
    <s v="000261742"/>
    <d v="2021-12-15T00:00:00"/>
    <n v="15"/>
    <x v="0"/>
    <x v="0"/>
    <n v="29"/>
    <x v="1"/>
    <x v="0"/>
    <x v="0"/>
    <s v="California"/>
    <s v="Bikes"/>
    <s v="Mountain Bikes"/>
    <s v="Mountain-200 Silver, 42"/>
    <x v="1"/>
    <n v="1266"/>
    <n v="2320"/>
    <n v="1054"/>
    <n v="1266"/>
    <n v="2320"/>
  </r>
  <r>
    <s v="000261743"/>
    <d v="2021-12-16T00:00:00"/>
    <n v="16"/>
    <x v="0"/>
    <x v="0"/>
    <n v="33"/>
    <x v="1"/>
    <x v="0"/>
    <x v="2"/>
    <s v="New South Wales"/>
    <s v="Bikes"/>
    <s v="Mountain Bikes"/>
    <s v="Mountain-200 Black, 38"/>
    <x v="2"/>
    <n v="1252"/>
    <n v="2295"/>
    <n v="2086"/>
    <n v="2504"/>
    <n v="4590"/>
  </r>
  <r>
    <s v="000261744"/>
    <d v="2021-12-16T00:00:00"/>
    <n v="16"/>
    <x v="0"/>
    <x v="0"/>
    <n v="38"/>
    <x v="0"/>
    <x v="1"/>
    <x v="2"/>
    <s v="New South Wales"/>
    <s v="Bikes"/>
    <s v="Mountain Bikes"/>
    <s v="Mountain-200 Black, 38"/>
    <x v="2"/>
    <n v="1252"/>
    <n v="2295"/>
    <n v="2086"/>
    <n v="2504"/>
    <n v="4590"/>
  </r>
  <r>
    <s v="000261745"/>
    <d v="2021-12-16T00:00:00"/>
    <n v="16"/>
    <x v="0"/>
    <x v="0"/>
    <n v="27"/>
    <x v="1"/>
    <x v="0"/>
    <x v="7"/>
    <s v="Seine et Marne"/>
    <s v="Bikes"/>
    <s v="Mountain Bikes"/>
    <s v="Mountain-200 Silver, 46"/>
    <x v="1"/>
    <n v="1266"/>
    <n v="2320"/>
    <n v="1054"/>
    <n v="1266"/>
    <n v="2320"/>
  </r>
  <r>
    <s v="000261746"/>
    <d v="2021-12-17T00:00:00"/>
    <n v="17"/>
    <x v="0"/>
    <x v="0"/>
    <n v="37"/>
    <x v="0"/>
    <x v="0"/>
    <x v="0"/>
    <s v="Washington"/>
    <s v="Bikes"/>
    <s v="Mountain Bikes"/>
    <s v="Mountain-200 Silver, 38"/>
    <x v="2"/>
    <n v="1266"/>
    <n v="2320"/>
    <n v="2108"/>
    <n v="2532"/>
    <n v="4640"/>
  </r>
  <r>
    <s v="000261747"/>
    <d v="2021-12-17T00:00:00"/>
    <n v="17"/>
    <x v="0"/>
    <x v="0"/>
    <n v="31"/>
    <x v="1"/>
    <x v="1"/>
    <x v="2"/>
    <s v="New South Wales"/>
    <s v="Bikes"/>
    <s v="Mountain Bikes"/>
    <s v="Mountain-400-W Silver, 42"/>
    <x v="1"/>
    <n v="420"/>
    <n v="769"/>
    <n v="349"/>
    <n v="420"/>
    <n v="769"/>
  </r>
  <r>
    <s v="000261748"/>
    <d v="2021-12-17T00:00:00"/>
    <n v="17"/>
    <x v="0"/>
    <x v="0"/>
    <n v="42"/>
    <x v="0"/>
    <x v="0"/>
    <x v="5"/>
    <s v="Nordrhein-Westfalen"/>
    <s v="Bikes"/>
    <s v="Mountain Bikes"/>
    <s v="Mountain-200 Silver, 46"/>
    <x v="1"/>
    <n v="1266"/>
    <n v="2320"/>
    <n v="1054"/>
    <n v="1266"/>
    <n v="2320"/>
  </r>
  <r>
    <s v="000261749"/>
    <d v="2021-12-18T00:00:00"/>
    <n v="18"/>
    <x v="0"/>
    <x v="0"/>
    <n v="35"/>
    <x v="0"/>
    <x v="0"/>
    <x v="2"/>
    <s v="New South Wales"/>
    <s v="Bikes"/>
    <s v="Mountain Bikes"/>
    <s v="Mountain-500 Silver, 42"/>
    <x v="0"/>
    <n v="308"/>
    <n v="565"/>
    <n v="1028"/>
    <n v="1232"/>
    <n v="2260"/>
  </r>
  <r>
    <s v="000261750"/>
    <d v="2021-12-18T00:00:00"/>
    <n v="18"/>
    <x v="0"/>
    <x v="0"/>
    <n v="38"/>
    <x v="0"/>
    <x v="0"/>
    <x v="5"/>
    <s v="Nordrhein-Westfalen"/>
    <s v="Bikes"/>
    <s v="Mountain Bikes"/>
    <s v="Mountain-200 Silver, 46"/>
    <x v="0"/>
    <n v="1266"/>
    <n v="2320"/>
    <n v="4216"/>
    <n v="5064"/>
    <n v="9280"/>
  </r>
  <r>
    <s v="000261751"/>
    <d v="2021-12-18T00:00:00"/>
    <n v="18"/>
    <x v="0"/>
    <x v="0"/>
    <n v="24"/>
    <x v="2"/>
    <x v="0"/>
    <x v="7"/>
    <s v="Seine Saint Denis"/>
    <s v="Bikes"/>
    <s v="Mountain Bikes"/>
    <s v="Mountain-200 Silver, 38"/>
    <x v="3"/>
    <n v="1266"/>
    <n v="2320"/>
    <n v="3162"/>
    <n v="3798"/>
    <n v="6960"/>
  </r>
  <r>
    <s v="000261752"/>
    <d v="2021-12-18T00:00:00"/>
    <n v="18"/>
    <x v="0"/>
    <x v="0"/>
    <n v="26"/>
    <x v="1"/>
    <x v="0"/>
    <x v="1"/>
    <s v="England"/>
    <s v="Bikes"/>
    <s v="Mountain Bikes"/>
    <s v="Mountain-400-W Silver, 42"/>
    <x v="3"/>
    <n v="420"/>
    <n v="769"/>
    <n v="1047"/>
    <n v="1260"/>
    <n v="2307"/>
  </r>
  <r>
    <s v="000261753"/>
    <d v="2021-12-18T00:00:00"/>
    <n v="18"/>
    <x v="0"/>
    <x v="0"/>
    <n v="39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54"/>
    <d v="2021-12-18T00:00:00"/>
    <n v="18"/>
    <x v="0"/>
    <x v="0"/>
    <n v="26"/>
    <x v="1"/>
    <x v="1"/>
    <x v="7"/>
    <s v="Seine (Paris)"/>
    <s v="Bikes"/>
    <s v="Mountain Bikes"/>
    <s v="Mountain-200 Black, 46"/>
    <x v="1"/>
    <n v="1252"/>
    <n v="2295"/>
    <n v="1043"/>
    <n v="1252"/>
    <n v="2295"/>
  </r>
  <r>
    <s v="000261755"/>
    <d v="2021-12-18T00:00:00"/>
    <n v="18"/>
    <x v="0"/>
    <x v="0"/>
    <n v="36"/>
    <x v="0"/>
    <x v="1"/>
    <x v="0"/>
    <s v="Washington"/>
    <s v="Bikes"/>
    <s v="Mountain Bikes"/>
    <s v="Mountain-200 Silver, 38"/>
    <x v="1"/>
    <n v="1266"/>
    <n v="2320"/>
    <n v="1054"/>
    <n v="1266"/>
    <n v="2320"/>
  </r>
  <r>
    <s v="000261756"/>
    <d v="2021-12-19T00:00:00"/>
    <n v="19"/>
    <x v="0"/>
    <x v="0"/>
    <n v="17"/>
    <x v="2"/>
    <x v="1"/>
    <x v="7"/>
    <s v="Nord"/>
    <s v="Bikes"/>
    <s v="Mountain Bikes"/>
    <s v="Mountain-200 Silver, 46"/>
    <x v="0"/>
    <n v="1266"/>
    <n v="2320"/>
    <n v="4216"/>
    <n v="5064"/>
    <n v="9280"/>
  </r>
  <r>
    <s v="000261757"/>
    <d v="2021-12-19T00:00:00"/>
    <n v="19"/>
    <x v="0"/>
    <x v="0"/>
    <n v="19"/>
    <x v="2"/>
    <x v="0"/>
    <x v="2"/>
    <s v="Victoria"/>
    <s v="Bikes"/>
    <s v="Mountain Bikes"/>
    <s v="Mountain-500 Black, 44"/>
    <x v="0"/>
    <n v="295"/>
    <n v="540"/>
    <n v="980"/>
    <n v="1180"/>
    <n v="2160"/>
  </r>
  <r>
    <s v="000261758"/>
    <d v="2021-12-19T00:00:00"/>
    <n v="19"/>
    <x v="0"/>
    <x v="0"/>
    <n v="25"/>
    <x v="1"/>
    <x v="1"/>
    <x v="7"/>
    <s v="Seine (Paris)"/>
    <s v="Bikes"/>
    <s v="Mountain Bikes"/>
    <s v="Mountain-200 Black, 38"/>
    <x v="0"/>
    <n v="1252"/>
    <n v="2295"/>
    <n v="4172"/>
    <n v="5008"/>
    <n v="9180"/>
  </r>
  <r>
    <s v="000261759"/>
    <d v="2021-12-19T00:00:00"/>
    <n v="19"/>
    <x v="0"/>
    <x v="0"/>
    <n v="35"/>
    <x v="0"/>
    <x v="0"/>
    <x v="0"/>
    <s v="Oregon"/>
    <s v="Bikes"/>
    <s v="Mountain Bikes"/>
    <s v="Mountain-100 Black, 48"/>
    <x v="0"/>
    <n v="1898"/>
    <n v="3375"/>
    <n v="5908"/>
    <n v="7592"/>
    <n v="13500"/>
  </r>
  <r>
    <s v="000261760"/>
    <d v="2021-12-19T00:00:00"/>
    <n v="19"/>
    <x v="0"/>
    <x v="0"/>
    <n v="37"/>
    <x v="0"/>
    <x v="1"/>
    <x v="0"/>
    <s v="Oregon"/>
    <s v="Bikes"/>
    <s v="Mountain Bikes"/>
    <s v="Mountain-200 Black, 38"/>
    <x v="0"/>
    <n v="1252"/>
    <n v="2295"/>
    <n v="4172"/>
    <n v="5008"/>
    <n v="9180"/>
  </r>
  <r>
    <s v="000261761"/>
    <d v="2021-12-19T00:00:00"/>
    <n v="19"/>
    <x v="0"/>
    <x v="0"/>
    <n v="39"/>
    <x v="0"/>
    <x v="0"/>
    <x v="0"/>
    <s v="California"/>
    <s v="Bikes"/>
    <s v="Mountain Bikes"/>
    <s v="Mountain-200 Black, 46"/>
    <x v="0"/>
    <n v="1252"/>
    <n v="2295"/>
    <n v="4172"/>
    <n v="5008"/>
    <n v="9180"/>
  </r>
  <r>
    <s v="000261762"/>
    <d v="2021-12-19T00:00:00"/>
    <n v="19"/>
    <x v="0"/>
    <x v="0"/>
    <n v="63"/>
    <x v="0"/>
    <x v="0"/>
    <x v="2"/>
    <s v="Queensland"/>
    <s v="Bikes"/>
    <s v="Mountain Bikes"/>
    <s v="Mountain-200 Black, 46"/>
    <x v="0"/>
    <n v="1252"/>
    <n v="2295"/>
    <n v="4172"/>
    <n v="5008"/>
    <n v="9180"/>
  </r>
  <r>
    <s v="000261763"/>
    <d v="2021-12-19T00:00:00"/>
    <n v="19"/>
    <x v="0"/>
    <x v="0"/>
    <n v="18"/>
    <x v="2"/>
    <x v="1"/>
    <x v="2"/>
    <s v="South Australia"/>
    <s v="Bikes"/>
    <s v="Mountain Bikes"/>
    <s v="Mountain-500 Black, 40"/>
    <x v="2"/>
    <n v="295"/>
    <n v="540"/>
    <n v="490"/>
    <n v="590"/>
    <n v="1080"/>
  </r>
  <r>
    <s v="000261764"/>
    <d v="2021-12-19T00:00:00"/>
    <n v="19"/>
    <x v="0"/>
    <x v="0"/>
    <n v="56"/>
    <x v="0"/>
    <x v="0"/>
    <x v="5"/>
    <s v="Hessen"/>
    <s v="Bikes"/>
    <s v="Mountain Bikes"/>
    <s v="Mountain-200 Black, 46"/>
    <x v="2"/>
    <n v="1252"/>
    <n v="2295"/>
    <n v="2086"/>
    <n v="2504"/>
    <n v="4590"/>
  </r>
  <r>
    <s v="000261765"/>
    <d v="2021-12-19T00:00:00"/>
    <n v="19"/>
    <x v="0"/>
    <x v="0"/>
    <n v="39"/>
    <x v="0"/>
    <x v="0"/>
    <x v="0"/>
    <s v="Washington"/>
    <s v="Bikes"/>
    <s v="Mountain Bikes"/>
    <s v="Mountain-200 Silver, 38"/>
    <x v="1"/>
    <n v="1266"/>
    <n v="2320"/>
    <n v="1054"/>
    <n v="1266"/>
    <n v="2320"/>
  </r>
  <r>
    <s v="000261766"/>
    <d v="2021-12-20T00:00:00"/>
    <n v="20"/>
    <x v="0"/>
    <x v="0"/>
    <n v="33"/>
    <x v="1"/>
    <x v="0"/>
    <x v="2"/>
    <s v="Victoria"/>
    <s v="Bikes"/>
    <s v="Mountain Bikes"/>
    <s v="Mountain-100 Black, 38"/>
    <x v="0"/>
    <n v="1898"/>
    <n v="3375"/>
    <n v="5908"/>
    <n v="7592"/>
    <n v="13500"/>
  </r>
  <r>
    <s v="000261767"/>
    <d v="2021-12-20T00:00:00"/>
    <n v="20"/>
    <x v="0"/>
    <x v="0"/>
    <n v="57"/>
    <x v="0"/>
    <x v="1"/>
    <x v="2"/>
    <s v="Queensland"/>
    <s v="Bikes"/>
    <s v="Mountain Bikes"/>
    <s v="Mountain-200 Black, 46"/>
    <x v="0"/>
    <n v="1252"/>
    <n v="2295"/>
    <n v="4172"/>
    <n v="5008"/>
    <n v="9180"/>
  </r>
  <r>
    <s v="000261768"/>
    <d v="2021-12-20T00:00:00"/>
    <n v="20"/>
    <x v="0"/>
    <x v="0"/>
    <n v="29"/>
    <x v="1"/>
    <x v="1"/>
    <x v="6"/>
    <s v="British Columbia"/>
    <s v="Bikes"/>
    <s v="Mountain Bikes"/>
    <s v="Mountain-500 Black, 52"/>
    <x v="3"/>
    <n v="295"/>
    <n v="540"/>
    <n v="735"/>
    <n v="885"/>
    <n v="1620"/>
  </r>
  <r>
    <s v="000261769"/>
    <d v="2021-12-20T00:00:00"/>
    <n v="20"/>
    <x v="0"/>
    <x v="0"/>
    <n v="35"/>
    <x v="0"/>
    <x v="0"/>
    <x v="2"/>
    <s v="Queensland"/>
    <s v="Bikes"/>
    <s v="Mountain Bikes"/>
    <s v="Mountain-200 Silver, 38"/>
    <x v="1"/>
    <n v="1266"/>
    <n v="2320"/>
    <n v="1054"/>
    <n v="1266"/>
    <n v="2320"/>
  </r>
  <r>
    <s v="000261770"/>
    <d v="2021-12-20T00:00:00"/>
    <n v="20"/>
    <x v="0"/>
    <x v="0"/>
    <n v="35"/>
    <x v="0"/>
    <x v="1"/>
    <x v="2"/>
    <s v="Victoria"/>
    <s v="Bikes"/>
    <s v="Mountain Bikes"/>
    <s v="Mountain-200 Silver, 38"/>
    <x v="1"/>
    <n v="1266"/>
    <n v="2320"/>
    <n v="1054"/>
    <n v="1266"/>
    <n v="2320"/>
  </r>
  <r>
    <s v="000261771"/>
    <d v="2021-12-21T00:00:00"/>
    <n v="21"/>
    <x v="0"/>
    <x v="0"/>
    <n v="26"/>
    <x v="1"/>
    <x v="1"/>
    <x v="7"/>
    <s v="Somme"/>
    <s v="Bikes"/>
    <s v="Mountain Bikes"/>
    <s v="Mountain-200 Silver, 38"/>
    <x v="3"/>
    <n v="1266"/>
    <n v="2320"/>
    <n v="3162"/>
    <n v="3798"/>
    <n v="6960"/>
  </r>
  <r>
    <s v="000261772"/>
    <d v="2021-12-21T00:00:00"/>
    <n v="21"/>
    <x v="0"/>
    <x v="0"/>
    <n v="23"/>
    <x v="2"/>
    <x v="1"/>
    <x v="1"/>
    <s v="England"/>
    <s v="Bikes"/>
    <s v="Mountain Bikes"/>
    <s v="Mountain-400-W Silver, 46"/>
    <x v="2"/>
    <n v="420"/>
    <n v="769"/>
    <n v="698"/>
    <n v="840"/>
    <n v="1538"/>
  </r>
  <r>
    <s v="000261773"/>
    <d v="2021-12-22T00:00:00"/>
    <n v="22"/>
    <x v="0"/>
    <x v="0"/>
    <n v="30"/>
    <x v="1"/>
    <x v="0"/>
    <x v="0"/>
    <s v="Washington"/>
    <s v="Bikes"/>
    <s v="Mountain Bikes"/>
    <s v="Mountain-200 Silver, 38"/>
    <x v="3"/>
    <n v="1266"/>
    <n v="2320"/>
    <n v="3162"/>
    <n v="3798"/>
    <n v="6960"/>
  </r>
  <r>
    <s v="000261774"/>
    <d v="2021-12-22T00:00:00"/>
    <n v="22"/>
    <x v="0"/>
    <x v="0"/>
    <n v="41"/>
    <x v="0"/>
    <x v="1"/>
    <x v="0"/>
    <s v="California"/>
    <s v="Bikes"/>
    <s v="Mountain Bikes"/>
    <s v="Mountain-200 Black, 42"/>
    <x v="3"/>
    <n v="1252"/>
    <n v="2295"/>
    <n v="3129"/>
    <n v="3756"/>
    <n v="6885"/>
  </r>
  <r>
    <s v="000261775"/>
    <d v="2021-12-22T00:00:00"/>
    <n v="22"/>
    <x v="0"/>
    <x v="0"/>
    <n v="19"/>
    <x v="2"/>
    <x v="0"/>
    <x v="2"/>
    <s v="New South Wales"/>
    <s v="Bikes"/>
    <s v="Mountain Bikes"/>
    <s v="Mountain-500 Silver, 42"/>
    <x v="1"/>
    <n v="308"/>
    <n v="565"/>
    <n v="257"/>
    <n v="308"/>
    <n v="565"/>
  </r>
  <r>
    <s v="000261776"/>
    <d v="2021-12-22T00:00:00"/>
    <n v="22"/>
    <x v="0"/>
    <x v="0"/>
    <n v="25"/>
    <x v="1"/>
    <x v="1"/>
    <x v="7"/>
    <s v="Seine (Paris)"/>
    <s v="Bikes"/>
    <s v="Mountain Bikes"/>
    <s v="Mountain-200 Black, 38"/>
    <x v="1"/>
    <n v="1252"/>
    <n v="2295"/>
    <n v="1043"/>
    <n v="1252"/>
    <n v="2295"/>
  </r>
  <r>
    <s v="000261777"/>
    <d v="2021-12-22T00:00:00"/>
    <n v="22"/>
    <x v="0"/>
    <x v="0"/>
    <n v="27"/>
    <x v="1"/>
    <x v="0"/>
    <x v="6"/>
    <s v="British Columbia"/>
    <s v="Bikes"/>
    <s v="Mountain Bikes"/>
    <s v="Mountain-200 Black, 46"/>
    <x v="1"/>
    <n v="1252"/>
    <n v="2295"/>
    <n v="1043"/>
    <n v="1252"/>
    <n v="2295"/>
  </r>
  <r>
    <s v="000261778"/>
    <d v="2021-12-22T00:00:00"/>
    <n v="22"/>
    <x v="0"/>
    <x v="0"/>
    <n v="41"/>
    <x v="0"/>
    <x v="1"/>
    <x v="5"/>
    <s v="Hessen"/>
    <s v="Bikes"/>
    <s v="Mountain Bikes"/>
    <s v="Mountain-200 Silver, 38"/>
    <x v="1"/>
    <n v="1266"/>
    <n v="2320"/>
    <n v="1054"/>
    <n v="1266"/>
    <n v="2320"/>
  </r>
  <r>
    <s v="000261779"/>
    <d v="2021-12-23T00:00:00"/>
    <n v="23"/>
    <x v="0"/>
    <x v="0"/>
    <n v="30"/>
    <x v="1"/>
    <x v="0"/>
    <x v="0"/>
    <s v="Oregon"/>
    <s v="Bikes"/>
    <s v="Mountain Bikes"/>
    <s v="Mountain-200 Silver, 42"/>
    <x v="1"/>
    <n v="1266"/>
    <n v="2320"/>
    <n v="1054"/>
    <n v="1266"/>
    <n v="2320"/>
  </r>
  <r>
    <s v="000261780"/>
    <d v="2021-12-23T00:00:00"/>
    <n v="23"/>
    <x v="0"/>
    <x v="0"/>
    <n v="31"/>
    <x v="1"/>
    <x v="0"/>
    <x v="6"/>
    <s v="British Columbia"/>
    <s v="Bikes"/>
    <s v="Mountain Bikes"/>
    <s v="Mountain-200 Black, 42"/>
    <x v="1"/>
    <n v="1252"/>
    <n v="2295"/>
    <n v="1043"/>
    <n v="1252"/>
    <n v="2295"/>
  </r>
  <r>
    <s v="000261781"/>
    <d v="2021-12-23T00:00:00"/>
    <n v="23"/>
    <x v="0"/>
    <x v="0"/>
    <n v="35"/>
    <x v="0"/>
    <x v="0"/>
    <x v="0"/>
    <s v="California"/>
    <s v="Bikes"/>
    <s v="Mountain Bikes"/>
    <s v="Mountain-500 Black, 42"/>
    <x v="1"/>
    <n v="295"/>
    <n v="540"/>
    <n v="245"/>
    <n v="295"/>
    <n v="540"/>
  </r>
  <r>
    <s v="000261782"/>
    <d v="2021-12-24T00:00:00"/>
    <n v="24"/>
    <x v="0"/>
    <x v="0"/>
    <n v="38"/>
    <x v="0"/>
    <x v="1"/>
    <x v="2"/>
    <s v="Queensland"/>
    <s v="Bikes"/>
    <s v="Mountain Bikes"/>
    <s v="Mountain-200 Black, 42"/>
    <x v="0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9" cacheId="89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1">
  <location ref="A12:J22" firstHeaderRow="1" firstDataRow="2" firstDataCol="1"/>
  <pivotFields count="19">
    <pivotField showAll="0"/>
    <pivotField numFmtId="14"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axis="axisRow" showAll="0" sortType="descending">
      <items count="4">
        <item sd="0" x="2"/>
        <item sd="0" x="1"/>
        <item sd="0"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numFmtId="164" showAll="0"/>
    <pivotField numFmtId="164" showAll="0"/>
    <pivotField dataField="1" numFmtId="164" showAll="0"/>
    <pivotField numFmtId="164" showAll="0"/>
    <pivotField numFmtId="164" showAll="0"/>
  </pivotFields>
  <rowFields count="2">
    <field x="7"/>
    <field x="6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 Profit 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8" cacheId="89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1">
  <location ref="A3:J8" firstHeaderRow="1" firstDataRow="2" firstDataCol="1"/>
  <pivotFields count="19">
    <pivotField showAll="0"/>
    <pivotField numFmtId="14" showAll="0"/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axis="axisRow" showAll="0" sortType="descending">
      <items count="4">
        <item sd="0" x="2"/>
        <item sd="0" x="1"/>
        <item sd="0" x="0"/>
        <item t="default"/>
      </items>
    </pivotField>
    <pivotField showAll="0"/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>
      <items count="5">
        <item x="1"/>
        <item x="2"/>
        <item x="3"/>
        <item x="0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chartFormats count="8"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S4" totalsRowShown="0">
  <autoFilter ref="A1:S4"/>
  <tableColumns count="19">
    <tableColumn id="1" name="Sales_Order #"/>
    <tableColumn id="2" name="Date" dataDxfId="1"/>
    <tableColumn id="3" name="Day"/>
    <tableColumn id="4" name="Month"/>
    <tableColumn id="5" name="Year"/>
    <tableColumn id="6" name="Customer_Age"/>
    <tableColumn id="7" name="Age_Group"/>
    <tableColumn id="8" name="Customer_Gender"/>
    <tableColumn id="9" name="Country"/>
    <tableColumn id="10" name="State"/>
    <tableColumn id="11" name="Product_Category"/>
    <tableColumn id="12" name="Sub_Category"/>
    <tableColumn id="13" name="Product_Description"/>
    <tableColumn id="14" name="Order_Quantity"/>
    <tableColumn id="15" name=" Unit_Cost "/>
    <tableColumn id="16" name=" Unit_Price "/>
    <tableColumn id="17" name=" Profit "/>
    <tableColumn id="18" name=" Cost "/>
    <tableColumn id="19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7" totalsRowShown="0">
  <autoFilter ref="A1:S7"/>
  <tableColumns count="19">
    <tableColumn id="1" name="Sales_Order #"/>
    <tableColumn id="2" name="Date" dataDxfId="0"/>
    <tableColumn id="3" name="Day"/>
    <tableColumn id="4" name="Month"/>
    <tableColumn id="5" name="Year"/>
    <tableColumn id="6" name="Customer_Age"/>
    <tableColumn id="7" name="Age_Group"/>
    <tableColumn id="8" name="Customer_Gender"/>
    <tableColumn id="9" name="Country"/>
    <tableColumn id="10" name="State"/>
    <tableColumn id="11" name="Product_Category"/>
    <tableColumn id="12" name="Sub_Category"/>
    <tableColumn id="13" name="Product_Description"/>
    <tableColumn id="14" name="Order_Quantity"/>
    <tableColumn id="15" name=" Unit_Cost "/>
    <tableColumn id="16" name=" Unit_Price "/>
    <tableColumn id="17" name=" Profit "/>
    <tableColumn id="18" name=" Cost "/>
    <tableColumn id="19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workbookViewId="0">
      <selection activeCell="B4" sqref="B4"/>
    </sheetView>
  </sheetViews>
  <sheetFormatPr defaultRowHeight="15" x14ac:dyDescent="0.25"/>
  <cols>
    <col min="1" max="1" width="15.28515625" customWidth="1"/>
    <col min="6" max="6" width="16.140625" customWidth="1"/>
    <col min="7" max="7" width="13.140625" customWidth="1"/>
    <col min="8" max="8" width="19.42578125" customWidth="1"/>
    <col min="9" max="9" width="10.140625" customWidth="1"/>
    <col min="11" max="11" width="18.85546875" customWidth="1"/>
    <col min="12" max="12" width="15.28515625" customWidth="1"/>
    <col min="13" max="13" width="21.140625" customWidth="1"/>
    <col min="14" max="14" width="17" customWidth="1"/>
    <col min="15" max="15" width="12.7109375" customWidth="1"/>
    <col min="16" max="16" width="13.28515625" customWidth="1"/>
    <col min="19" max="19" width="1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108</v>
      </c>
      <c r="B2" s="1">
        <v>44546</v>
      </c>
      <c r="C2">
        <v>16</v>
      </c>
      <c r="D2" t="s">
        <v>20</v>
      </c>
      <c r="E2">
        <v>2021</v>
      </c>
      <c r="F2">
        <v>38</v>
      </c>
      <c r="G2" t="s">
        <v>21</v>
      </c>
      <c r="H2" t="s">
        <v>28</v>
      </c>
      <c r="I2" t="s">
        <v>36</v>
      </c>
      <c r="J2" t="s">
        <v>37</v>
      </c>
      <c r="K2" t="s">
        <v>25</v>
      </c>
      <c r="L2" t="s">
        <v>26</v>
      </c>
      <c r="M2" t="s">
        <v>43</v>
      </c>
      <c r="N2">
        <v>2</v>
      </c>
      <c r="O2">
        <v>1252</v>
      </c>
      <c r="P2">
        <v>2295</v>
      </c>
      <c r="Q2">
        <v>2086</v>
      </c>
      <c r="R2">
        <v>2504</v>
      </c>
      <c r="S2">
        <v>4590</v>
      </c>
    </row>
    <row r="3" spans="1:19" x14ac:dyDescent="0.25">
      <c r="A3" t="s">
        <v>89</v>
      </c>
      <c r="B3" s="1">
        <v>44541</v>
      </c>
      <c r="C3">
        <v>11</v>
      </c>
      <c r="D3" t="s">
        <v>20</v>
      </c>
      <c r="E3">
        <v>2021</v>
      </c>
      <c r="F3">
        <v>41</v>
      </c>
      <c r="G3" t="s">
        <v>21</v>
      </c>
      <c r="H3" t="s">
        <v>22</v>
      </c>
      <c r="I3" t="s">
        <v>36</v>
      </c>
      <c r="J3" t="s">
        <v>37</v>
      </c>
      <c r="K3" t="s">
        <v>25</v>
      </c>
      <c r="L3" t="s">
        <v>26</v>
      </c>
      <c r="M3" t="s">
        <v>64</v>
      </c>
      <c r="N3">
        <v>2</v>
      </c>
      <c r="O3">
        <v>420</v>
      </c>
      <c r="P3">
        <v>769</v>
      </c>
      <c r="Q3">
        <v>698</v>
      </c>
      <c r="R3">
        <v>840</v>
      </c>
      <c r="S3">
        <v>1538</v>
      </c>
    </row>
    <row r="4" spans="1:19" x14ac:dyDescent="0.25">
      <c r="A4" t="s">
        <v>79</v>
      </c>
      <c r="B4" s="1">
        <v>44540</v>
      </c>
      <c r="C4">
        <v>10</v>
      </c>
      <c r="D4" t="s">
        <v>20</v>
      </c>
      <c r="E4">
        <v>2021</v>
      </c>
      <c r="F4">
        <v>40</v>
      </c>
      <c r="G4" t="s">
        <v>21</v>
      </c>
      <c r="H4" t="s">
        <v>28</v>
      </c>
      <c r="I4" t="s">
        <v>36</v>
      </c>
      <c r="J4" t="s">
        <v>37</v>
      </c>
      <c r="K4" t="s">
        <v>25</v>
      </c>
      <c r="L4" t="s">
        <v>26</v>
      </c>
      <c r="M4" t="s">
        <v>61</v>
      </c>
      <c r="N4">
        <v>2</v>
      </c>
      <c r="O4">
        <v>1252</v>
      </c>
      <c r="P4">
        <v>2295</v>
      </c>
      <c r="Q4">
        <v>2086</v>
      </c>
      <c r="R4">
        <v>2504</v>
      </c>
      <c r="S4">
        <v>4590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selection activeCell="F5" sqref="F5"/>
    </sheetView>
  </sheetViews>
  <sheetFormatPr defaultRowHeight="15" x14ac:dyDescent="0.25"/>
  <cols>
    <col min="1" max="1" width="15.28515625" customWidth="1"/>
    <col min="6" max="6" width="16.140625" customWidth="1"/>
    <col min="7" max="7" width="13.140625" customWidth="1"/>
    <col min="8" max="8" width="19.42578125" customWidth="1"/>
    <col min="9" max="9" width="10.140625" customWidth="1"/>
    <col min="11" max="11" width="18.85546875" customWidth="1"/>
    <col min="12" max="12" width="15.28515625" customWidth="1"/>
    <col min="13" max="13" width="21.140625" customWidth="1"/>
    <col min="14" max="14" width="17" customWidth="1"/>
    <col min="15" max="15" width="12.7109375" customWidth="1"/>
    <col min="16" max="16" width="13.28515625" customWidth="1"/>
    <col min="19" max="19" width="1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143</v>
      </c>
      <c r="B2" s="1">
        <v>44550</v>
      </c>
      <c r="C2">
        <v>20</v>
      </c>
      <c r="D2" t="s">
        <v>20</v>
      </c>
      <c r="E2">
        <v>2021</v>
      </c>
      <c r="F2">
        <v>35</v>
      </c>
      <c r="G2" t="s">
        <v>21</v>
      </c>
      <c r="H2" t="s">
        <v>28</v>
      </c>
      <c r="I2" t="s">
        <v>36</v>
      </c>
      <c r="J2" t="s">
        <v>74</v>
      </c>
      <c r="K2" t="s">
        <v>25</v>
      </c>
      <c r="L2" t="s">
        <v>26</v>
      </c>
      <c r="M2" t="s">
        <v>54</v>
      </c>
      <c r="N2">
        <v>1</v>
      </c>
      <c r="O2">
        <v>1266</v>
      </c>
      <c r="P2">
        <v>2320</v>
      </c>
      <c r="Q2">
        <v>1054</v>
      </c>
      <c r="R2">
        <v>1266</v>
      </c>
      <c r="S2">
        <v>2320</v>
      </c>
    </row>
    <row r="3" spans="1:19" x14ac:dyDescent="0.25">
      <c r="A3" t="s">
        <v>142</v>
      </c>
      <c r="B3" s="1">
        <v>44550</v>
      </c>
      <c r="C3">
        <v>20</v>
      </c>
      <c r="D3" t="s">
        <v>20</v>
      </c>
      <c r="E3">
        <v>2021</v>
      </c>
      <c r="F3">
        <v>35</v>
      </c>
      <c r="G3" t="s">
        <v>21</v>
      </c>
      <c r="H3" t="s">
        <v>22</v>
      </c>
      <c r="I3" t="s">
        <v>36</v>
      </c>
      <c r="J3" t="s">
        <v>53</v>
      </c>
      <c r="K3" t="s">
        <v>25</v>
      </c>
      <c r="L3" t="s">
        <v>26</v>
      </c>
      <c r="M3" t="s">
        <v>54</v>
      </c>
      <c r="N3">
        <v>1</v>
      </c>
      <c r="O3">
        <v>1266</v>
      </c>
      <c r="P3">
        <v>2320</v>
      </c>
      <c r="Q3">
        <v>1054</v>
      </c>
      <c r="R3">
        <v>1266</v>
      </c>
      <c r="S3">
        <v>2320</v>
      </c>
    </row>
    <row r="4" spans="1:19" x14ac:dyDescent="0.25">
      <c r="A4" t="s">
        <v>96</v>
      </c>
      <c r="B4" s="1">
        <v>44542</v>
      </c>
      <c r="C4">
        <v>12</v>
      </c>
      <c r="D4" t="s">
        <v>20</v>
      </c>
      <c r="E4">
        <v>2021</v>
      </c>
      <c r="F4">
        <v>35</v>
      </c>
      <c r="G4" t="s">
        <v>21</v>
      </c>
      <c r="H4" t="s">
        <v>22</v>
      </c>
      <c r="I4" t="s">
        <v>36</v>
      </c>
      <c r="J4" t="s">
        <v>74</v>
      </c>
      <c r="K4" t="s">
        <v>25</v>
      </c>
      <c r="L4" t="s">
        <v>26</v>
      </c>
      <c r="M4" t="s">
        <v>31</v>
      </c>
      <c r="N4">
        <v>1</v>
      </c>
      <c r="O4">
        <v>1266</v>
      </c>
      <c r="P4">
        <v>2320</v>
      </c>
      <c r="Q4">
        <v>1054</v>
      </c>
      <c r="R4">
        <v>1266</v>
      </c>
      <c r="S4">
        <v>2320</v>
      </c>
    </row>
    <row r="5" spans="1:19" x14ac:dyDescent="0.25">
      <c r="A5" t="s">
        <v>85</v>
      </c>
      <c r="B5" s="1">
        <v>44540</v>
      </c>
      <c r="C5">
        <v>10</v>
      </c>
      <c r="D5" t="s">
        <v>20</v>
      </c>
      <c r="E5">
        <v>2021</v>
      </c>
      <c r="F5">
        <v>38</v>
      </c>
      <c r="G5" t="s">
        <v>21</v>
      </c>
      <c r="H5" t="s">
        <v>28</v>
      </c>
      <c r="I5" t="s">
        <v>36</v>
      </c>
      <c r="J5" t="s">
        <v>37</v>
      </c>
      <c r="K5" t="s">
        <v>25</v>
      </c>
      <c r="L5" t="s">
        <v>26</v>
      </c>
      <c r="M5" t="s">
        <v>43</v>
      </c>
      <c r="N5">
        <v>1</v>
      </c>
      <c r="O5">
        <v>1252</v>
      </c>
      <c r="P5">
        <v>2295</v>
      </c>
      <c r="Q5">
        <v>1043</v>
      </c>
      <c r="R5">
        <v>1252</v>
      </c>
      <c r="S5">
        <v>2295</v>
      </c>
    </row>
    <row r="6" spans="1:19" x14ac:dyDescent="0.25">
      <c r="A6" t="s">
        <v>60</v>
      </c>
      <c r="B6" s="1">
        <v>44536</v>
      </c>
      <c r="C6">
        <v>6</v>
      </c>
      <c r="D6" t="s">
        <v>20</v>
      </c>
      <c r="E6">
        <v>2021</v>
      </c>
      <c r="F6">
        <v>36</v>
      </c>
      <c r="G6" t="s">
        <v>21</v>
      </c>
      <c r="H6" t="s">
        <v>28</v>
      </c>
      <c r="I6" t="s">
        <v>36</v>
      </c>
      <c r="J6" t="s">
        <v>37</v>
      </c>
      <c r="K6" t="s">
        <v>25</v>
      </c>
      <c r="L6" t="s">
        <v>26</v>
      </c>
      <c r="M6" t="s">
        <v>61</v>
      </c>
      <c r="N6">
        <v>1</v>
      </c>
      <c r="O6">
        <v>1252</v>
      </c>
      <c r="P6">
        <v>2295</v>
      </c>
      <c r="Q6">
        <v>1043</v>
      </c>
      <c r="R6">
        <v>1252</v>
      </c>
      <c r="S6">
        <v>2295</v>
      </c>
    </row>
    <row r="7" spans="1:19" x14ac:dyDescent="0.25">
      <c r="A7" t="s">
        <v>52</v>
      </c>
      <c r="B7" s="1">
        <v>44535</v>
      </c>
      <c r="C7">
        <v>5</v>
      </c>
      <c r="D7" t="s">
        <v>20</v>
      </c>
      <c r="E7">
        <v>2021</v>
      </c>
      <c r="F7">
        <v>35</v>
      </c>
      <c r="G7" t="s">
        <v>21</v>
      </c>
      <c r="H7" t="s">
        <v>22</v>
      </c>
      <c r="I7" t="s">
        <v>36</v>
      </c>
      <c r="J7" t="s">
        <v>53</v>
      </c>
      <c r="K7" t="s">
        <v>25</v>
      </c>
      <c r="L7" t="s">
        <v>26</v>
      </c>
      <c r="M7" t="s">
        <v>54</v>
      </c>
      <c r="N7">
        <v>1</v>
      </c>
      <c r="O7">
        <v>1266</v>
      </c>
      <c r="P7">
        <v>2320</v>
      </c>
      <c r="Q7">
        <v>1054</v>
      </c>
      <c r="R7">
        <v>1266</v>
      </c>
      <c r="S7">
        <v>2320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2"/>
  <sheetViews>
    <sheetView tabSelected="1" workbookViewId="0">
      <selection activeCell="I32" sqref="I32"/>
    </sheetView>
  </sheetViews>
  <sheetFormatPr defaultRowHeight="15" x14ac:dyDescent="0.25"/>
  <cols>
    <col min="1" max="1" width="23.140625" customWidth="1"/>
    <col min="2" max="2" width="16.28515625" customWidth="1"/>
    <col min="3" max="3" width="7.42578125" customWidth="1"/>
    <col min="4" max="4" width="6.85546875" customWidth="1"/>
    <col min="5" max="5" width="9.140625" customWidth="1"/>
    <col min="6" max="6" width="13.5703125" customWidth="1"/>
    <col min="7" max="7" width="15.5703125" customWidth="1"/>
    <col min="8" max="8" width="13.140625" customWidth="1"/>
    <col min="9" max="9" width="13.5703125" customWidth="1"/>
    <col min="10" max="10" width="11.28515625" customWidth="1"/>
    <col min="11" max="11" width="21.85546875" bestFit="1" customWidth="1"/>
    <col min="12" max="12" width="15.5703125" bestFit="1" customWidth="1"/>
    <col min="13" max="13" width="21.85546875" bestFit="1" customWidth="1"/>
    <col min="14" max="14" width="13.140625" bestFit="1" customWidth="1"/>
    <col min="15" max="15" width="21.85546875" bestFit="1" customWidth="1"/>
    <col min="16" max="16" width="13.5703125" bestFit="1" customWidth="1"/>
    <col min="17" max="17" width="21.85546875" bestFit="1" customWidth="1"/>
    <col min="18" max="18" width="16.5703125" bestFit="1" customWidth="1"/>
    <col min="19" max="19" width="26.85546875" bestFit="1" customWidth="1"/>
  </cols>
  <sheetData>
    <row r="3" spans="1:10" x14ac:dyDescent="0.25">
      <c r="A3" s="9" t="s">
        <v>161</v>
      </c>
      <c r="B3" s="9" t="s">
        <v>158</v>
      </c>
    </row>
    <row r="4" spans="1:10" x14ac:dyDescent="0.25">
      <c r="A4" s="9" t="s">
        <v>160</v>
      </c>
      <c r="B4" t="s">
        <v>36</v>
      </c>
      <c r="C4" t="s">
        <v>58</v>
      </c>
      <c r="D4" t="s">
        <v>87</v>
      </c>
      <c r="E4" t="s">
        <v>50</v>
      </c>
      <c r="F4" t="s">
        <v>40</v>
      </c>
      <c r="G4" t="s">
        <v>29</v>
      </c>
      <c r="H4" t="s">
        <v>23</v>
      </c>
      <c r="I4" t="s">
        <v>45</v>
      </c>
      <c r="J4" t="s">
        <v>159</v>
      </c>
    </row>
    <row r="5" spans="1:10" x14ac:dyDescent="0.25">
      <c r="A5" s="8" t="s">
        <v>42</v>
      </c>
      <c r="B5" s="11">
        <v>11</v>
      </c>
      <c r="C5" s="11">
        <v>0</v>
      </c>
      <c r="D5" s="11">
        <v>10</v>
      </c>
      <c r="E5" s="11">
        <v>0</v>
      </c>
      <c r="F5" s="11">
        <v>0</v>
      </c>
      <c r="G5" s="11">
        <v>6</v>
      </c>
      <c r="H5" s="11">
        <v>0</v>
      </c>
      <c r="I5" s="11">
        <v>0</v>
      </c>
      <c r="J5" s="11">
        <v>27</v>
      </c>
    </row>
    <row r="6" spans="1:10" x14ac:dyDescent="0.25">
      <c r="A6" s="8" t="s">
        <v>35</v>
      </c>
      <c r="B6" s="11">
        <v>20</v>
      </c>
      <c r="C6" s="11">
        <v>11</v>
      </c>
      <c r="D6" s="11">
        <v>10</v>
      </c>
      <c r="E6" s="11">
        <v>0</v>
      </c>
      <c r="F6" s="11">
        <v>0</v>
      </c>
      <c r="G6" s="11">
        <v>4</v>
      </c>
      <c r="H6" s="11">
        <v>16</v>
      </c>
      <c r="I6" s="11">
        <v>0</v>
      </c>
      <c r="J6" s="11">
        <v>61</v>
      </c>
    </row>
    <row r="7" spans="1:10" x14ac:dyDescent="0.25">
      <c r="A7" s="8" t="s">
        <v>21</v>
      </c>
      <c r="B7" s="11">
        <v>32</v>
      </c>
      <c r="C7" s="11">
        <v>0</v>
      </c>
      <c r="D7" s="11">
        <v>0</v>
      </c>
      <c r="E7" s="11">
        <v>13</v>
      </c>
      <c r="F7" s="11">
        <v>2</v>
      </c>
      <c r="G7" s="11">
        <v>4</v>
      </c>
      <c r="H7" s="11">
        <v>47</v>
      </c>
      <c r="I7" s="11">
        <v>1</v>
      </c>
      <c r="J7" s="11">
        <v>99</v>
      </c>
    </row>
    <row r="8" spans="1:10" x14ac:dyDescent="0.25">
      <c r="A8" s="8" t="s">
        <v>159</v>
      </c>
      <c r="B8" s="11">
        <v>63</v>
      </c>
      <c r="C8" s="11">
        <v>11</v>
      </c>
      <c r="D8" s="11">
        <v>20</v>
      </c>
      <c r="E8" s="11">
        <v>13</v>
      </c>
      <c r="F8" s="11">
        <v>2</v>
      </c>
      <c r="G8" s="11">
        <v>14</v>
      </c>
      <c r="H8" s="11">
        <v>63</v>
      </c>
      <c r="I8" s="11">
        <v>1</v>
      </c>
      <c r="J8" s="11">
        <v>187</v>
      </c>
    </row>
    <row r="12" spans="1:10" x14ac:dyDescent="0.25">
      <c r="A12" s="9" t="s">
        <v>162</v>
      </c>
      <c r="B12" s="9" t="s">
        <v>158</v>
      </c>
    </row>
    <row r="13" spans="1:10" x14ac:dyDescent="0.25">
      <c r="A13" s="9" t="s">
        <v>160</v>
      </c>
      <c r="B13" t="s">
        <v>36</v>
      </c>
      <c r="C13" t="s">
        <v>58</v>
      </c>
      <c r="D13" t="s">
        <v>87</v>
      </c>
      <c r="E13" t="s">
        <v>50</v>
      </c>
      <c r="F13" t="s">
        <v>40</v>
      </c>
      <c r="G13" t="s">
        <v>29</v>
      </c>
      <c r="H13" t="s">
        <v>23</v>
      </c>
      <c r="I13" t="s">
        <v>45</v>
      </c>
      <c r="J13" t="s">
        <v>159</v>
      </c>
    </row>
    <row r="14" spans="1:10" x14ac:dyDescent="0.25">
      <c r="A14" s="8" t="s">
        <v>22</v>
      </c>
      <c r="B14" s="11">
        <v>31745</v>
      </c>
      <c r="C14" s="11">
        <v>6302</v>
      </c>
      <c r="D14" s="11">
        <v>7345</v>
      </c>
      <c r="E14" s="11">
        <v>8410</v>
      </c>
      <c r="F14" s="11">
        <v>2086</v>
      </c>
      <c r="G14" s="11">
        <v>3133</v>
      </c>
      <c r="H14" s="11">
        <v>38522</v>
      </c>
      <c r="I14" s="11">
        <v>0</v>
      </c>
      <c r="J14" s="11">
        <v>97543</v>
      </c>
    </row>
    <row r="15" spans="1:10" x14ac:dyDescent="0.25">
      <c r="A15" s="10" t="s">
        <v>42</v>
      </c>
      <c r="B15" s="11">
        <v>2265</v>
      </c>
      <c r="C15" s="11">
        <v>0</v>
      </c>
      <c r="D15" s="11">
        <v>6291</v>
      </c>
      <c r="E15" s="11">
        <v>0</v>
      </c>
      <c r="F15" s="11">
        <v>0</v>
      </c>
      <c r="G15" s="11">
        <v>1043</v>
      </c>
      <c r="H15" s="11">
        <v>0</v>
      </c>
      <c r="I15" s="11">
        <v>0</v>
      </c>
      <c r="J15" s="11">
        <v>9599</v>
      </c>
    </row>
    <row r="16" spans="1:10" x14ac:dyDescent="0.25">
      <c r="A16" s="10" t="s">
        <v>35</v>
      </c>
      <c r="B16" s="11">
        <v>16204</v>
      </c>
      <c r="C16" s="11">
        <v>6302</v>
      </c>
      <c r="D16" s="11">
        <v>1054</v>
      </c>
      <c r="E16" s="11">
        <v>0</v>
      </c>
      <c r="F16" s="11">
        <v>0</v>
      </c>
      <c r="G16" s="11">
        <v>1047</v>
      </c>
      <c r="H16" s="11">
        <v>10952</v>
      </c>
      <c r="I16" s="11">
        <v>0</v>
      </c>
      <c r="J16" s="11">
        <v>35559</v>
      </c>
    </row>
    <row r="17" spans="1:10" x14ac:dyDescent="0.25">
      <c r="A17" s="10" t="s">
        <v>21</v>
      </c>
      <c r="B17" s="11">
        <v>13276</v>
      </c>
      <c r="C17" s="11">
        <v>0</v>
      </c>
      <c r="D17" s="11">
        <v>0</v>
      </c>
      <c r="E17" s="11">
        <v>8410</v>
      </c>
      <c r="F17" s="11">
        <v>2086</v>
      </c>
      <c r="G17" s="11">
        <v>1043</v>
      </c>
      <c r="H17" s="11">
        <v>27570</v>
      </c>
      <c r="I17" s="11">
        <v>0</v>
      </c>
      <c r="J17" s="11">
        <v>52385</v>
      </c>
    </row>
    <row r="18" spans="1:10" x14ac:dyDescent="0.25">
      <c r="A18" s="8" t="s">
        <v>28</v>
      </c>
      <c r="B18" s="11">
        <v>18581</v>
      </c>
      <c r="C18" s="11">
        <v>2821</v>
      </c>
      <c r="D18" s="11">
        <v>13636</v>
      </c>
      <c r="E18" s="11">
        <v>5226</v>
      </c>
      <c r="F18" s="11">
        <v>0</v>
      </c>
      <c r="G18" s="11">
        <v>5939</v>
      </c>
      <c r="H18" s="11">
        <v>18719</v>
      </c>
      <c r="I18" s="11">
        <v>1043</v>
      </c>
      <c r="J18" s="11">
        <v>65965</v>
      </c>
    </row>
    <row r="19" spans="1:10" x14ac:dyDescent="0.25">
      <c r="A19" s="10" t="s">
        <v>42</v>
      </c>
      <c r="B19" s="11">
        <v>490</v>
      </c>
      <c r="C19" s="11">
        <v>0</v>
      </c>
      <c r="D19" s="11">
        <v>4216</v>
      </c>
      <c r="E19" s="11">
        <v>0</v>
      </c>
      <c r="F19" s="11">
        <v>0</v>
      </c>
      <c r="G19" s="11">
        <v>1745</v>
      </c>
      <c r="H19" s="11">
        <v>0</v>
      </c>
      <c r="I19" s="11">
        <v>0</v>
      </c>
      <c r="J19" s="11">
        <v>6451</v>
      </c>
    </row>
    <row r="20" spans="1:10" x14ac:dyDescent="0.25">
      <c r="A20" s="10" t="s">
        <v>35</v>
      </c>
      <c r="B20" s="11">
        <v>2435</v>
      </c>
      <c r="C20" s="11">
        <v>2821</v>
      </c>
      <c r="D20" s="11">
        <v>9420</v>
      </c>
      <c r="E20" s="11">
        <v>0</v>
      </c>
      <c r="F20" s="11">
        <v>0</v>
      </c>
      <c r="G20" s="11">
        <v>1043</v>
      </c>
      <c r="H20" s="11">
        <v>2684</v>
      </c>
      <c r="I20" s="11">
        <v>0</v>
      </c>
      <c r="J20" s="11">
        <v>18403</v>
      </c>
    </row>
    <row r="21" spans="1:10" x14ac:dyDescent="0.25">
      <c r="A21" s="10" t="s">
        <v>21</v>
      </c>
      <c r="B21" s="11">
        <v>15656</v>
      </c>
      <c r="C21" s="11">
        <v>0</v>
      </c>
      <c r="D21" s="11">
        <v>0</v>
      </c>
      <c r="E21" s="11">
        <v>5226</v>
      </c>
      <c r="F21" s="11">
        <v>0</v>
      </c>
      <c r="G21" s="11">
        <v>3151</v>
      </c>
      <c r="H21" s="11">
        <v>16035</v>
      </c>
      <c r="I21" s="11">
        <v>1043</v>
      </c>
      <c r="J21" s="11">
        <v>41111</v>
      </c>
    </row>
    <row r="22" spans="1:10" x14ac:dyDescent="0.25">
      <c r="A22" s="8" t="s">
        <v>159</v>
      </c>
      <c r="B22" s="11">
        <v>50326</v>
      </c>
      <c r="C22" s="11">
        <v>9123</v>
      </c>
      <c r="D22" s="11">
        <v>20981</v>
      </c>
      <c r="E22" s="11">
        <v>13636</v>
      </c>
      <c r="F22" s="11">
        <v>2086</v>
      </c>
      <c r="G22" s="11">
        <v>9072</v>
      </c>
      <c r="H22" s="11">
        <v>57241</v>
      </c>
      <c r="I22" s="11">
        <v>1043</v>
      </c>
      <c r="J22" s="11">
        <v>163508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zoomScale="85" zoomScaleNormal="85" workbookViewId="0">
      <selection activeCell="A2" sqref="A2:S89"/>
    </sheetView>
  </sheetViews>
  <sheetFormatPr defaultRowHeight="15" x14ac:dyDescent="0.25"/>
  <cols>
    <col min="1" max="1" width="13.42578125" customWidth="1"/>
    <col min="2" max="2" width="10.7109375" bestFit="1" customWidth="1"/>
    <col min="4" max="4" width="10.140625" bestFit="1" customWidth="1"/>
    <col min="6" max="6" width="14.140625" bestFit="1" customWidth="1"/>
    <col min="7" max="7" width="19.7109375" style="8" bestFit="1" customWidth="1"/>
    <col min="8" max="8" width="17.5703125" bestFit="1" customWidth="1"/>
    <col min="9" max="9" width="15.42578125" bestFit="1" customWidth="1"/>
    <col min="10" max="10" width="19.85546875" bestFit="1" customWidth="1"/>
    <col min="11" max="11" width="16.85546875" bestFit="1" customWidth="1"/>
    <col min="12" max="12" width="14.85546875" bestFit="1" customWidth="1"/>
    <col min="13" max="13" width="25" bestFit="1" customWidth="1"/>
    <col min="14" max="14" width="15" bestFit="1" customWidth="1"/>
    <col min="15" max="15" width="10.5703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55A197-E6BA-450D-B171-3C9117E06810}">
  <ds:schemaRefs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ef7ae401-bd17-41a5-97cb-ef653218410e"/>
    <ds:schemaRef ds:uri="6cf0ffbd-cd96-4ba4-bd4f-bd34e8409846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Sheet5</vt:lpstr>
      <vt:lpstr>Sheet3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2026-02-20T04:37:29Z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