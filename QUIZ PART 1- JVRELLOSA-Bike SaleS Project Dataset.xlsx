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COMLAB\Downloads\"/>
    </mc:Choice>
  </mc:AlternateContent>
  <xr:revisionPtr revIDLastSave="0" documentId="13_ncr:1_{C14A04C8-213F-4D63-B26C-854272DA629C}" xr6:coauthVersionLast="47" xr6:coauthVersionMax="47" xr10:uidLastSave="{00000000-0000-0000-0000-000000000000}"/>
  <bookViews>
    <workbookView xWindow="-120" yWindow="-120" windowWidth="29040" windowHeight="15840" activeTab="3" xr2:uid="{00000000-000D-0000-FFFF-FFFF00000000}"/>
  </bookViews>
  <sheets>
    <sheet name="raw" sheetId="1" r:id="rId1"/>
    <sheet name="Working Sheet" sheetId="4" r:id="rId2"/>
    <sheet name="Pivot Table" sheetId="3" r:id="rId3"/>
    <sheet name="Dashboard" sheetId="2" r:id="rId4"/>
  </sheets>
  <definedNames>
    <definedName name="_xlnm._FilterDatabase" localSheetId="0" hidden="1">raw!$A$1:$M$1001</definedName>
    <definedName name="_xlnm._FilterDatabase" localSheetId="1" hidden="1">'Working Sheet'!$A$1:$N$1001</definedName>
    <definedName name="Slicer_Children">#N/A</definedName>
    <definedName name="Slicer_Education">#N/A</definedName>
    <definedName name="Slicer_Gender">#N/A</definedName>
    <definedName name="Slicer_Marital_Status">#N/A</definedName>
    <definedName name="Slicer_Region">#N/A</definedName>
  </definedNames>
  <calcPr calcId="191029"/>
  <pivotCaches>
    <pivotCache cacheId="14"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81" i="4" l="1"/>
  <c r="M972" i="4"/>
  <c r="M866" i="4"/>
  <c r="M857" i="4"/>
  <c r="M813" i="4"/>
  <c r="M807" i="4"/>
  <c r="M738" i="4"/>
  <c r="M657" i="4"/>
  <c r="M656" i="4"/>
  <c r="M655" i="4"/>
  <c r="M649" i="4"/>
  <c r="M578" i="4"/>
  <c r="M559" i="4"/>
  <c r="M501" i="4"/>
  <c r="M494" i="4"/>
  <c r="M486" i="4"/>
  <c r="M462" i="4"/>
  <c r="M431" i="4"/>
  <c r="M346" i="4"/>
  <c r="M254" i="4"/>
  <c r="M215" i="4"/>
  <c r="M202" i="4"/>
  <c r="M124" i="4"/>
  <c r="M77" i="4"/>
  <c r="M34"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3" i="4"/>
  <c r="M204" i="4"/>
  <c r="M205" i="4"/>
  <c r="M206" i="4"/>
  <c r="M207" i="4"/>
  <c r="M208" i="4"/>
  <c r="M209" i="4"/>
  <c r="M210" i="4"/>
  <c r="M211" i="4"/>
  <c r="M212" i="4"/>
  <c r="M213" i="4"/>
  <c r="M214"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3" i="4"/>
  <c r="M464" i="4"/>
  <c r="M465" i="4"/>
  <c r="M466" i="4"/>
  <c r="M467" i="4"/>
  <c r="M468" i="4"/>
  <c r="M469" i="4"/>
  <c r="M470" i="4"/>
  <c r="M471" i="4"/>
  <c r="M472" i="4"/>
  <c r="M473" i="4"/>
  <c r="M474" i="4"/>
  <c r="M475" i="4"/>
  <c r="M476" i="4"/>
  <c r="M477" i="4"/>
  <c r="M478" i="4"/>
  <c r="M479" i="4"/>
  <c r="M480" i="4"/>
  <c r="M481" i="4"/>
  <c r="M482" i="4"/>
  <c r="M483" i="4"/>
  <c r="M484" i="4"/>
  <c r="M485" i="4"/>
  <c r="M487" i="4"/>
  <c r="M488" i="4"/>
  <c r="M489" i="4"/>
  <c r="M490" i="4"/>
  <c r="M491" i="4"/>
  <c r="M492" i="4"/>
  <c r="M493" i="4"/>
  <c r="M495" i="4"/>
  <c r="M496" i="4"/>
  <c r="M497" i="4"/>
  <c r="M498" i="4"/>
  <c r="M499" i="4"/>
  <c r="M500"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60" i="4"/>
  <c r="M561" i="4"/>
  <c r="M562" i="4"/>
  <c r="M563" i="4"/>
  <c r="M564" i="4"/>
  <c r="M565" i="4"/>
  <c r="M566" i="4"/>
  <c r="M567" i="4"/>
  <c r="M568" i="4"/>
  <c r="M569" i="4"/>
  <c r="M570" i="4"/>
  <c r="M571" i="4"/>
  <c r="M572" i="4"/>
  <c r="M573" i="4"/>
  <c r="M574" i="4"/>
  <c r="M575" i="4"/>
  <c r="M576" i="4"/>
  <c r="M577"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50" i="4"/>
  <c r="M651" i="4"/>
  <c r="M652" i="4"/>
  <c r="M653" i="4"/>
  <c r="M654"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8" i="4"/>
  <c r="M809" i="4"/>
  <c r="M810" i="4"/>
  <c r="M811" i="4"/>
  <c r="M812"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8" i="4"/>
  <c r="M859" i="4"/>
  <c r="M860" i="4"/>
  <c r="M861" i="4"/>
  <c r="M862" i="4"/>
  <c r="M863" i="4"/>
  <c r="M864" i="4"/>
  <c r="M865"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3" i="4"/>
  <c r="M974" i="4"/>
  <c r="M975" i="4"/>
  <c r="M976" i="4"/>
  <c r="M977" i="4"/>
  <c r="M978" i="4"/>
  <c r="M979" i="4"/>
  <c r="M980"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<sst xmlns="http://schemas.openxmlformats.org/spreadsheetml/2006/main" count="16267" uniqueCount="51">
  <si>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</si>
  <si>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</si>
  <si>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</si>
  <si>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</si>
  <si>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</si>
  <si>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</si>
  <si>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</si>
  <si>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</si>
  <si>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</si>
  <si>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</si>
  <si>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</si>
  <si>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</si>
  <si>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</si>
  <si>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</si>
  <si>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</si>
  <si>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</si>
  <si>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</si>
  <si>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</si>
  <si>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</si>
  <si>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</si>
  <si>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</si>
  <si>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</si>
  <si>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</si>
  <si>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</si>
  <si>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</si>
  <si>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</si>
  <si>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</si>
  <si>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</si>
  <si>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</si>
  <si>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</si>
  <si>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</si>
  <si>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</si>
  <si>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</si>
  <si>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</si>
  <si>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</si>
  <si>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</si>
  <si>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</si>
  <si>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</si>
  <si>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</si>
  <si>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</si>
  <si>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</si>
  <si>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</si>
  <si>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</si>
  <si>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Column Labels</t>
  </si>
  <si>
    <t>Average of Income</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</si>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</sst>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_([$$-409]* #,##0.00_);_([$$-409]* \(#,##0.00\);_([$$-409]* &quot;-&quot;??_);_(@_)"/>
    <numFmt numFmtId="166" formatCode="_(* #,##0_);_(* \(#,##0\);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9" tint="-0.499984740745262"/>
      <name val="Calibri"/>
      <family val="2"/>
      <scheme val="minor"/>
    </font>
    <font>
      <b/>
      <sz val="48"/>
      <color theme="0"/>
      <name val="Courier New"/>
      <family val="3"/>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rgb="FFCC99FF"/>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33" borderId="0" xfId="0" applyFill="1"/>
    <xf numFmtId="0" fontId="16" fillId="34" borderId="0" xfId="0" applyFont="1" applyFill="1"/>
    <xf numFmtId="165" fontId="16" fillId="34" borderId="0" xfId="0" applyNumberFormat="1" applyFont="1" applyFill="1"/>
    <xf numFmtId="0" fontId="20" fillId="33" borderId="0" xfId="0" applyFont="1"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6" formatCode="_(* #,##0_);_(* \(#,##0\);_(* &quot;-&quot;??_);_(@_)"/>
    </dxf>
  </dxfs>
  <tableStyles count="0" defaultTableStyle="TableStyleMedium2" defaultPivotStyle="PivotStyleLight16"/>
  <colors>
    <mruColors>
      <color rgb="FFCC99FF"/>
      <color rgb="FFFFCCFF"/>
      <color rgb="FFCC66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[JVRELLOSA-Bike SaleS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Income Per Purchase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1F7B-554F-B08F-84DDC8748B19}"/>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9106-2243-BC3E-02B07E1F12F3}"/>
            </c:ext>
          </c:extLst>
        </c:ser>
        <c:dLbls>
          <c:showLegendKey val="0"/>
          <c:showVal val="0"/>
          <c:showCatName val="0"/>
          <c:showSerName val="0"/>
          <c:showPercent val="0"/>
          <c:showBubbleSize val="0"/>
        </c:dLbls>
        <c:gapWidth val="150"/>
        <c:axId val="109083008"/>
        <c:axId val="2056965311"/>
      </c:barChart>
      <c:catAx>
        <c:axId val="109083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965311"/>
        <c:crosses val="autoZero"/>
        <c:auto val="1"/>
        <c:lblAlgn val="ctr"/>
        <c:lblOffset val="100"/>
        <c:noMultiLvlLbl val="0"/>
      </c:catAx>
      <c:valAx>
        <c:axId val="2056965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830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[JVRELLOSA-Bike SaleS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Table'!$B$33:$B$34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Table'!$A$35:$A$38</c:f>
              <c:strCache>
                <c:ptCount val="3"/>
                <c:pt idx="0">
                  <c:v>Adolescent</c:v>
                </c:pt>
                <c:pt idx="1">
                  <c:v>Middle Age</c:v>
                </c:pt>
                <c:pt idx="2">
                  <c:v>Old</c:v>
                </c:pt>
              </c:strCache>
            </c:strRef>
          </c:cat>
          <c:val>
            <c:numRef>
              <c:f>'Pivot Table'!$B$35:$B$38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9DDC-2B4D-89FB-B4EEA5C85623}"/>
            </c:ext>
          </c:extLst>
        </c:ser>
        <c:ser>
          <c:idx val="1"/>
          <c:order val="1"/>
          <c:tx>
            <c:strRef>
              <c:f>'Pivot Table'!$C$33:$C$34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Table'!$A$35:$A$38</c:f>
              <c:strCache>
                <c:ptCount val="3"/>
                <c:pt idx="0">
                  <c:v>Adolescent</c:v>
                </c:pt>
                <c:pt idx="1">
                  <c:v>Middle Age</c:v>
                </c:pt>
                <c:pt idx="2">
                  <c:v>Old</c:v>
                </c:pt>
              </c:strCache>
            </c:strRef>
          </c:cat>
          <c:val>
            <c:numRef>
              <c:f>'Pivot Table'!$C$35:$C$38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9DDC-2B4D-89FB-B4EEA5C85623}"/>
            </c:ext>
          </c:extLst>
        </c:ser>
        <c:dLbls>
          <c:showLegendKey val="0"/>
          <c:showVal val="1"/>
          <c:showCatName val="0"/>
          <c:showSerName val="0"/>
          <c:showPercent val="0"/>
          <c:showBubbleSize val="0"/>
        </c:dLbls>
        <c:marker val="1"/>
        <c:smooth val="0"/>
        <c:axId val="105637152"/>
        <c:axId val="95289584"/>
      </c:lineChart>
      <c:catAx>
        <c:axId val="105637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89584"/>
        <c:crosses val="autoZero"/>
        <c:auto val="1"/>
        <c:lblAlgn val="ctr"/>
        <c:lblOffset val="100"/>
        <c:noMultiLvlLbl val="0"/>
      </c:catAx>
      <c:valAx>
        <c:axId val="95289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37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[JVRELLOSA-Bike SaleS Project Dataset.xlsx]Pivot 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Table'!$B$17:$B$18</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Table'!$A$19:$A$24</c:f>
              <c:strCache>
                <c:ptCount val="5"/>
                <c:pt idx="0">
                  <c:v>0-1 Miles</c:v>
                </c:pt>
                <c:pt idx="1">
                  <c:v>1-2 Miles</c:v>
                </c:pt>
                <c:pt idx="2">
                  <c:v>2-5 Miles</c:v>
                </c:pt>
                <c:pt idx="3">
                  <c:v>5-10 Miles</c:v>
                </c:pt>
                <c:pt idx="4">
                  <c:v>More than 10 Miles</c:v>
                </c:pt>
              </c:strCache>
            </c:strRef>
          </c:cat>
          <c:val>
            <c:numRef>
              <c:f>'Pivot Table'!$B$19:$B$24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DCE-E74A-BE24-A4DB76388944}"/>
            </c:ext>
          </c:extLst>
        </c:ser>
        <c:ser>
          <c:idx val="1"/>
          <c:order val="1"/>
          <c:tx>
            <c:strRef>
              <c:f>'Pivot Table'!$C$17:$C$18</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Table'!$A$19:$A$24</c:f>
              <c:strCache>
                <c:ptCount val="5"/>
                <c:pt idx="0">
                  <c:v>0-1 Miles</c:v>
                </c:pt>
                <c:pt idx="1">
                  <c:v>1-2 Miles</c:v>
                </c:pt>
                <c:pt idx="2">
                  <c:v>2-5 Miles</c:v>
                </c:pt>
                <c:pt idx="3">
                  <c:v>5-10 Miles</c:v>
                </c:pt>
                <c:pt idx="4">
                  <c:v>More than 10 Miles</c:v>
                </c:pt>
              </c:strCache>
            </c:strRef>
          </c:cat>
          <c:val>
            <c:numRef>
              <c:f>'Pivot Table'!$C$19:$C$24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DCE-E74A-BE24-A4DB76388944}"/>
            </c:ext>
          </c:extLst>
        </c:ser>
        <c:dLbls>
          <c:showLegendKey val="0"/>
          <c:showVal val="1"/>
          <c:showCatName val="0"/>
          <c:showSerName val="0"/>
          <c:showPercent val="0"/>
          <c:showBubbleSize val="0"/>
        </c:dLbls>
        <c:smooth val="0"/>
        <c:axId val="329955104"/>
        <c:axId val="330107152"/>
      </c:lineChart>
      <c:catAx>
        <c:axId val="32995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107152"/>
        <c:crosses val="autoZero"/>
        <c:auto val="1"/>
        <c:lblAlgn val="ctr"/>
        <c:lblOffset val="100"/>
        <c:noMultiLvlLbl val="0"/>
      </c:catAx>
      <c:valAx>
        <c:axId val="330107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95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[JVRELLOSA-Bike SaleS Project Dataset.xlsx]Pivot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Income Per Purchase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695D-8443-8A0D-5584FA7E15EF}"/>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2-E331-5248-A702-EF5675A76445}"/>
            </c:ext>
          </c:extLst>
        </c:ser>
        <c:dLbls>
          <c:showLegendKey val="0"/>
          <c:showVal val="0"/>
          <c:showCatName val="0"/>
          <c:showSerName val="0"/>
          <c:showPercent val="0"/>
          <c:showBubbleSize val="0"/>
        </c:dLbls>
        <c:gapWidth val="150"/>
        <c:axId val="109083008"/>
        <c:axId val="2056965311"/>
      </c:barChart>
      <c:catAx>
        <c:axId val="109083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965311"/>
        <c:crosses val="autoZero"/>
        <c:auto val="1"/>
        <c:lblAlgn val="ctr"/>
        <c:lblOffset val="100"/>
        <c:noMultiLvlLbl val="0"/>
      </c:catAx>
      <c:valAx>
        <c:axId val="2056965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830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[JVRELLOSA-Bike SaleS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Table'!$B$33:$B$34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Table'!$A$35:$A$38</c:f>
              <c:strCache>
                <c:ptCount val="3"/>
                <c:pt idx="0">
                  <c:v>Adolescent</c:v>
                </c:pt>
                <c:pt idx="1">
                  <c:v>Middle Age</c:v>
                </c:pt>
                <c:pt idx="2">
                  <c:v>Old</c:v>
                </c:pt>
              </c:strCache>
            </c:strRef>
          </c:cat>
          <c:val>
            <c:numRef>
              <c:f>'Pivot Table'!$B$35:$B$38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EE17-B740-87F6-7CC40F0047B8}"/>
            </c:ext>
          </c:extLst>
        </c:ser>
        <c:ser>
          <c:idx val="1"/>
          <c:order val="1"/>
          <c:tx>
            <c:strRef>
              <c:f>'Pivot Table'!$C$33:$C$34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Table'!$A$35:$A$38</c:f>
              <c:strCache>
                <c:ptCount val="3"/>
                <c:pt idx="0">
                  <c:v>Adolescent</c:v>
                </c:pt>
                <c:pt idx="1">
                  <c:v>Middle Age</c:v>
                </c:pt>
                <c:pt idx="2">
                  <c:v>Old</c:v>
                </c:pt>
              </c:strCache>
            </c:strRef>
          </c:cat>
          <c:val>
            <c:numRef>
              <c:f>'Pivot Table'!$C$35:$C$38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EE17-B740-87F6-7CC40F0047B8}"/>
            </c:ext>
          </c:extLst>
        </c:ser>
        <c:dLbls>
          <c:showLegendKey val="0"/>
          <c:showVal val="1"/>
          <c:showCatName val="0"/>
          <c:showSerName val="0"/>
          <c:showPercent val="0"/>
          <c:showBubbleSize val="0"/>
        </c:dLbls>
        <c:marker val="1"/>
        <c:smooth val="0"/>
        <c:axId val="105637152"/>
        <c:axId val="95289584"/>
      </c:lineChart>
      <c:catAx>
        <c:axId val="105637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89584"/>
        <c:crosses val="autoZero"/>
        <c:auto val="1"/>
        <c:lblAlgn val="ctr"/>
        <c:lblOffset val="100"/>
        <c:noMultiLvlLbl val="0"/>
      </c:catAx>
      <c:valAx>
        <c:axId val="95289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37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[JVRELLOSA-Bike SaleS Project Dataset.xlsx]Pivot 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Table'!$B$17:$B$18</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Table'!$A$19:$A$24</c:f>
              <c:strCache>
                <c:ptCount val="5"/>
                <c:pt idx="0">
                  <c:v>0-1 Miles</c:v>
                </c:pt>
                <c:pt idx="1">
                  <c:v>1-2 Miles</c:v>
                </c:pt>
                <c:pt idx="2">
                  <c:v>2-5 Miles</c:v>
                </c:pt>
                <c:pt idx="3">
                  <c:v>5-10 Miles</c:v>
                </c:pt>
                <c:pt idx="4">
                  <c:v>More than 10 Miles</c:v>
                </c:pt>
              </c:strCache>
            </c:strRef>
          </c:cat>
          <c:val>
            <c:numRef>
              <c:f>'Pivot Table'!$B$19:$B$24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845-A84F-97AD-AEFAB9367404}"/>
            </c:ext>
          </c:extLst>
        </c:ser>
        <c:ser>
          <c:idx val="1"/>
          <c:order val="1"/>
          <c:tx>
            <c:strRef>
              <c:f>'Pivot Table'!$C$17:$C$18</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Table'!$A$19:$A$24</c:f>
              <c:strCache>
                <c:ptCount val="5"/>
                <c:pt idx="0">
                  <c:v>0-1 Miles</c:v>
                </c:pt>
                <c:pt idx="1">
                  <c:v>1-2 Miles</c:v>
                </c:pt>
                <c:pt idx="2">
                  <c:v>2-5 Miles</c:v>
                </c:pt>
                <c:pt idx="3">
                  <c:v>5-10 Miles</c:v>
                </c:pt>
                <c:pt idx="4">
                  <c:v>More than 10 Miles</c:v>
                </c:pt>
              </c:strCache>
            </c:strRef>
          </c:cat>
          <c:val>
            <c:numRef>
              <c:f>'Pivot Table'!$C$19:$C$24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845-A84F-97AD-AEFAB9367404}"/>
            </c:ext>
          </c:extLst>
        </c:ser>
        <c:dLbls>
          <c:showLegendKey val="0"/>
          <c:showVal val="1"/>
          <c:showCatName val="0"/>
          <c:showSerName val="0"/>
          <c:showPercent val="0"/>
          <c:showBubbleSize val="0"/>
        </c:dLbls>
        <c:smooth val="0"/>
        <c:axId val="329955104"/>
        <c:axId val="330107152"/>
      </c:lineChart>
      <c:catAx>
        <c:axId val="32995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107152"/>
        <c:crosses val="autoZero"/>
        <c:auto val="1"/>
        <c:lblAlgn val="ctr"/>
        <c:lblOffset val="100"/>
        <c:noMultiLvlLbl val="0"/>
      </c:catAx>
      <c:valAx>
        <c:axId val="330107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95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5</xdr:col>
      <xdr:colOff>0</xdr:colOff>
      <xdr:row>0</xdr:row>
      <xdr:rowOff>8890</xdr:rowOff>
    </xdr:from>
    <xdr:to>
      <xdr:col>13</xdr:col>
      <xdr:colOff>6350</xdr:colOff>
      <xdr:row>14</xdr:row>
      <xdr:rowOff>142875</xdr:rowOff>
    </xdr:to>
    <xdr:graphicFrame macro="">
      <xdr:nvGraphicFramePr>
        <xdr:cNvPr id="2" name="Chart 1">
          <a:extLst>
            <a:ext uri="{FF2B5EF4-FFF2-40B4-BE49-F238E27FC236}">
              <a16:creationId xmlns:a16="http://schemas.microsoft.com/office/drawing/2014/main" id="{99CBB33C-B4E3-0088-264D-AA25BCB6EA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746125</xdr:colOff>
      <xdr:row>32</xdr:row>
      <xdr:rowOff>9525</xdr:rowOff>
    </xdr:from>
    <xdr:to>
      <xdr:col>12</xdr:col>
      <xdr:colOff>736600</xdr:colOff>
      <xdr:row>47</xdr:row>
      <xdr:rowOff>38100</xdr:rowOff>
    </xdr:to>
    <xdr:graphicFrame macro="">
      <xdr:nvGraphicFramePr>
        <xdr:cNvPr id="4" name="Chart 3">
          <a:extLst>
            <a:ext uri="{FF2B5EF4-FFF2-40B4-BE49-F238E27FC236}">
              <a16:creationId xmlns:a16="http://schemas.microsoft.com/office/drawing/2014/main" id="{20336CB3-C6A8-F71D-15A6-830E955729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22225</xdr:colOff>
      <xdr:row>15</xdr:row>
      <xdr:rowOff>158750</xdr:rowOff>
    </xdr:from>
    <xdr:to>
      <xdr:col>13</xdr:col>
      <xdr:colOff>9525</xdr:colOff>
      <xdr:row>30</xdr:row>
      <xdr:rowOff>123825</xdr:rowOff>
    </xdr:to>
    <xdr:graphicFrame macro="">
      <xdr:nvGraphicFramePr>
        <xdr:cNvPr id="6" name="Chart 5">
          <a:extLst>
            <a:ext uri="{FF2B5EF4-FFF2-40B4-BE49-F238E27FC236}">
              <a16:creationId xmlns:a16="http://schemas.microsoft.com/office/drawing/2014/main" id="{D25538BB-6CAF-1088-DAF9-9603CE0F7C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212607</xdr:colOff>
      <xdr:row>6</xdr:row>
      <xdr:rowOff>21214</xdr:rowOff>
    </xdr:from>
    <xdr:to>
      <xdr:col>9</xdr:col>
      <xdr:colOff>532459</xdr:colOff>
      <xdr:row>26</xdr:row>
      <xdr:rowOff>59314</xdr:rowOff>
    </xdr:to>
    <xdr:graphicFrame macro="">
      <xdr:nvGraphicFramePr>
        <xdr:cNvPr id="2" name="Chart 1">
          <a:extLst>
            <a:ext uri="{FF2B5EF4-FFF2-40B4-BE49-F238E27FC236}">
              <a16:creationId xmlns:a16="http://schemas.microsoft.com/office/drawing/2014/main" id="{B1B169FB-A801-574E-8C3D-3AFD0F7011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172626</xdr:colOff>
      <xdr:row>6</xdr:row>
      <xdr:rowOff>21215</xdr:rowOff>
    </xdr:from>
    <xdr:to>
      <xdr:col>15</xdr:col>
      <xdr:colOff>665399</xdr:colOff>
      <xdr:row>26</xdr:row>
      <xdr:rowOff>57838</xdr:rowOff>
    </xdr:to>
    <xdr:graphicFrame macro="">
      <xdr:nvGraphicFramePr>
        <xdr:cNvPr id="4" name="Chart 3">
          <a:extLst>
            <a:ext uri="{FF2B5EF4-FFF2-40B4-BE49-F238E27FC236}">
              <a16:creationId xmlns:a16="http://schemas.microsoft.com/office/drawing/2014/main" id="{FE20A5D3-059C-7949-8172-F3235EB4FC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27751</xdr:colOff>
      <xdr:row>5</xdr:row>
      <xdr:rowOff>85608</xdr:rowOff>
    </xdr:from>
    <xdr:to>
      <xdr:col>2</xdr:col>
      <xdr:colOff>611481</xdr:colOff>
      <xdr:row>10</xdr:row>
      <xdr:rowOff>94075</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5EF4F253-F143-7609-8738-9F340F7F752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27751" y="1026349"/>
              <a:ext cx="2245705" cy="94920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52995</xdr:colOff>
      <xdr:row>19</xdr:row>
      <xdr:rowOff>123473</xdr:rowOff>
    </xdr:from>
    <xdr:to>
      <xdr:col>2</xdr:col>
      <xdr:colOff>611482</xdr:colOff>
      <xdr:row>28</xdr:row>
      <xdr:rowOff>106697</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5FE6FA00-428C-8833-6941-CF445446E30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52995" y="3698288"/>
              <a:ext cx="2220462" cy="167655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49546</xdr:colOff>
      <xdr:row>11</xdr:row>
      <xdr:rowOff>178153</xdr:rowOff>
    </xdr:from>
    <xdr:to>
      <xdr:col>2</xdr:col>
      <xdr:colOff>595803</xdr:colOff>
      <xdr:row>18</xdr:row>
      <xdr:rowOff>39394</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C11B862C-CC7B-1C77-C6C0-52932BB7938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9546" y="2247783"/>
              <a:ext cx="2208232" cy="117827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207747</xdr:colOff>
      <xdr:row>27</xdr:row>
      <xdr:rowOff>101914</xdr:rowOff>
    </xdr:from>
    <xdr:to>
      <xdr:col>15</xdr:col>
      <xdr:colOff>611481</xdr:colOff>
      <xdr:row>45</xdr:row>
      <xdr:rowOff>112059</xdr:rowOff>
    </xdr:to>
    <xdr:graphicFrame macro="">
      <xdr:nvGraphicFramePr>
        <xdr:cNvPr id="9" name="Chart 8">
          <a:extLst>
            <a:ext uri="{FF2B5EF4-FFF2-40B4-BE49-F238E27FC236}">
              <a16:creationId xmlns:a16="http://schemas.microsoft.com/office/drawing/2014/main" id="{E6CA9D5C-F9FC-F64A-ACE5-E32B45C624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52211</xdr:colOff>
      <xdr:row>30</xdr:row>
      <xdr:rowOff>2628</xdr:rowOff>
    </xdr:from>
    <xdr:to>
      <xdr:col>2</xdr:col>
      <xdr:colOff>564446</xdr:colOff>
      <xdr:row>34</xdr:row>
      <xdr:rowOff>173999</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7F3935ED-F29D-8480-1F48-562324A274C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211" y="5647072"/>
              <a:ext cx="2174210" cy="92396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26968</xdr:colOff>
      <xdr:row>36</xdr:row>
      <xdr:rowOff>69930</xdr:rowOff>
    </xdr:from>
    <xdr:to>
      <xdr:col>2</xdr:col>
      <xdr:colOff>564445</xdr:colOff>
      <xdr:row>46</xdr:row>
      <xdr:rowOff>172470</xdr:rowOff>
    </xdr:to>
    <mc:AlternateContent xmlns:mc="http://schemas.openxmlformats.org/markup-compatibility/2006" xmlns:a14="http://schemas.microsoft.com/office/drawing/2010/main">
      <mc:Choice Requires="a14">
        <xdr:graphicFrame macro="">
          <xdr:nvGraphicFramePr>
            <xdr:cNvPr id="12" name="Children">
              <a:extLst>
                <a:ext uri="{FF2B5EF4-FFF2-40B4-BE49-F238E27FC236}">
                  <a16:creationId xmlns:a16="http://schemas.microsoft.com/office/drawing/2014/main" id="{68D9CD90-E231-42CE-47A3-2CE1C34056E8}"/>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mlns="">
        <xdr:sp macro="" textlink="">
          <xdr:nvSpPr>
            <xdr:cNvPr id="0" name=""/>
            <xdr:cNvSpPr>
              <a:spLocks noTextEdit="1"/>
            </xdr:cNvSpPr>
          </xdr:nvSpPr>
          <xdr:spPr>
            <a:xfrm>
              <a:off x="26968" y="6843263"/>
              <a:ext cx="2199452" cy="198402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111076</xdr:colOff>
      <xdr:row>0</xdr:row>
      <xdr:rowOff>85397</xdr:rowOff>
    </xdr:from>
    <xdr:to>
      <xdr:col>2</xdr:col>
      <xdr:colOff>394138</xdr:colOff>
      <xdr:row>5</xdr:row>
      <xdr:rowOff>13139</xdr:rowOff>
    </xdr:to>
    <xdr:pic>
      <xdr:nvPicPr>
        <xdr:cNvPr id="3" name="Picture 2" descr="Blue Bike Stock Illustrations – 22,816 Blue Bike Stock Illustrations,  Vectors &amp; Clipart - Dreamstime">
          <a:extLst>
            <a:ext uri="{FF2B5EF4-FFF2-40B4-BE49-F238E27FC236}">
              <a16:creationId xmlns:a16="http://schemas.microsoft.com/office/drawing/2014/main" id="{6D21AD22-E4D3-5064-D5F4-24E03D5256D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11076" y="85397"/>
          <a:ext cx="1807062" cy="8802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294.594299305558" createdVersion="8" refreshedVersion="8" minRefreshableVersion="3" recordCount="1000" xr:uid="{54FA6165-0C99-6544-BB58-722325F92F57}">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4">
        <s v="Middle Age"/>
        <s v="Old"/>
        <s v="Adolescent"/>
        <s v="Invalid" u="1"/>
      </sharedItems>
    </cacheField>
    <cacheField name="Purchased Bike" numFmtId="0">
      <sharedItems count="2">
        <s v="No"/>
        <s v="Yes"/>
      </sharedItems>
    </cacheField>
  </cacheFields>
  <extLst>
    <ext xmlns:x14="http://schemas.microsoft.com/office/spreadsheetml/2009/9/main" uri="{725AE2AE-9491-48be-B2B4-4EB974FC3084}">
      <x14:pivotCacheDefinition pivotCacheId="9238968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s v="Skilled Manual"/>
    <s v="Yes"/>
    <n v="0"/>
    <x v="0"/>
    <x v="0"/>
    <n v="42"/>
    <x v="0"/>
    <x v="0"/>
  </r>
  <r>
    <n v="24107"/>
    <x v="0"/>
    <x v="1"/>
    <n v="30000"/>
    <x v="1"/>
    <x v="1"/>
    <s v="Clerical"/>
    <s v="Yes"/>
    <n v="1"/>
    <x v="0"/>
    <x v="0"/>
    <n v="43"/>
    <x v="0"/>
    <x v="0"/>
  </r>
  <r>
    <n v="14177"/>
    <x v="0"/>
    <x v="1"/>
    <n v="80000"/>
    <x v="2"/>
    <x v="1"/>
    <s v="Professional"/>
    <s v="No"/>
    <n v="2"/>
    <x v="1"/>
    <x v="0"/>
    <n v="60"/>
    <x v="1"/>
    <x v="0"/>
  </r>
  <r>
    <n v="24381"/>
    <x v="1"/>
    <x v="1"/>
    <n v="70000"/>
    <x v="3"/>
    <x v="0"/>
    <s v="Professional"/>
    <s v="Yes"/>
    <n v="1"/>
    <x v="2"/>
    <x v="1"/>
    <n v="41"/>
    <x v="0"/>
    <x v="1"/>
  </r>
  <r>
    <n v="25597"/>
    <x v="1"/>
    <x v="1"/>
    <n v="30000"/>
    <x v="3"/>
    <x v="0"/>
    <s v="Clerical"/>
    <s v="No"/>
    <n v="0"/>
    <x v="0"/>
    <x v="0"/>
    <n v="36"/>
    <x v="0"/>
    <x v="1"/>
  </r>
  <r>
    <n v="13507"/>
    <x v="0"/>
    <x v="0"/>
    <n v="10000"/>
    <x v="4"/>
    <x v="1"/>
    <s v="Manual"/>
    <s v="Yes"/>
    <n v="0"/>
    <x v="3"/>
    <x v="0"/>
    <n v="50"/>
    <x v="0"/>
    <x v="0"/>
  </r>
  <r>
    <n v="27974"/>
    <x v="1"/>
    <x v="1"/>
    <n v="160000"/>
    <x v="4"/>
    <x v="2"/>
    <s v="Management"/>
    <s v="Yes"/>
    <n v="4"/>
    <x v="0"/>
    <x v="1"/>
    <n v="33"/>
    <x v="0"/>
    <x v="1"/>
  </r>
  <r>
    <n v="19364"/>
    <x v="0"/>
    <x v="1"/>
    <n v="40000"/>
    <x v="0"/>
    <x v="0"/>
    <s v="Skilled Manual"/>
    <s v="Yes"/>
    <n v="0"/>
    <x v="0"/>
    <x v="0"/>
    <n v="43"/>
    <x v="0"/>
    <x v="1"/>
  </r>
  <r>
    <n v="22155"/>
    <x v="0"/>
    <x v="1"/>
    <n v="20000"/>
    <x v="4"/>
    <x v="3"/>
    <s v="Clerical"/>
    <s v="Yes"/>
    <n v="2"/>
    <x v="2"/>
    <x v="1"/>
    <n v="58"/>
    <x v="1"/>
    <x v="0"/>
  </r>
  <r>
    <n v="19280"/>
    <x v="0"/>
    <x v="1"/>
    <n v="120000"/>
    <x v="4"/>
    <x v="1"/>
    <s v="Manual"/>
    <s v="Yes"/>
    <n v="1"/>
    <x v="0"/>
    <x v="0"/>
    <n v="40"/>
    <x v="0"/>
    <x v="1"/>
  </r>
  <r>
    <n v="22173"/>
    <x v="0"/>
    <x v="0"/>
    <n v="30000"/>
    <x v="1"/>
    <x v="2"/>
    <s v="Skilled Manual"/>
    <s v="No"/>
    <n v="2"/>
    <x v="3"/>
    <x v="1"/>
    <n v="54"/>
    <x v="0"/>
    <x v="1"/>
  </r>
  <r>
    <n v="12697"/>
    <x v="1"/>
    <x v="0"/>
    <n v="90000"/>
    <x v="3"/>
    <x v="0"/>
    <s v="Professional"/>
    <s v="No"/>
    <n v="4"/>
    <x v="4"/>
    <x v="1"/>
    <n v="36"/>
    <x v="0"/>
    <x v="0"/>
  </r>
  <r>
    <n v="11434"/>
    <x v="0"/>
    <x v="1"/>
    <n v="170000"/>
    <x v="2"/>
    <x v="1"/>
    <s v="Professional"/>
    <s v="Yes"/>
    <n v="0"/>
    <x v="0"/>
    <x v="0"/>
    <n v="55"/>
    <x v="1"/>
    <x v="0"/>
  </r>
  <r>
    <n v="25323"/>
    <x v="0"/>
    <x v="1"/>
    <n v="40000"/>
    <x v="4"/>
    <x v="1"/>
    <s v="Clerical"/>
    <s v="Yes"/>
    <n v="1"/>
    <x v="3"/>
    <x v="0"/>
    <n v="35"/>
    <x v="0"/>
    <x v="1"/>
  </r>
  <r>
    <n v="23542"/>
    <x v="1"/>
    <x v="1"/>
    <n v="60000"/>
    <x v="0"/>
    <x v="1"/>
    <s v="Skilled Manual"/>
    <s v="No"/>
    <n v="1"/>
    <x v="0"/>
    <x v="1"/>
    <n v="45"/>
    <x v="0"/>
    <x v="1"/>
  </r>
  <r>
    <n v="20870"/>
    <x v="1"/>
    <x v="0"/>
    <n v="10000"/>
    <x v="4"/>
    <x v="2"/>
    <s v="Manual"/>
    <s v="Yes"/>
    <n v="1"/>
    <x v="0"/>
    <x v="0"/>
    <n v="38"/>
    <x v="0"/>
    <x v="1"/>
  </r>
  <r>
    <n v="23316"/>
    <x v="1"/>
    <x v="1"/>
    <n v="30000"/>
    <x v="1"/>
    <x v="1"/>
    <s v="Clerical"/>
    <s v="No"/>
    <n v="2"/>
    <x v="3"/>
    <x v="1"/>
    <n v="59"/>
    <x v="1"/>
    <x v="1"/>
  </r>
  <r>
    <n v="12610"/>
    <x v="0"/>
    <x v="0"/>
    <n v="30000"/>
    <x v="0"/>
    <x v="0"/>
    <s v="Clerical"/>
    <s v="Yes"/>
    <n v="0"/>
    <x v="0"/>
    <x v="0"/>
    <n v="47"/>
    <x v="0"/>
    <x v="0"/>
  </r>
  <r>
    <n v="27183"/>
    <x v="1"/>
    <x v="1"/>
    <n v="40000"/>
    <x v="4"/>
    <x v="1"/>
    <s v="Clerical"/>
    <s v="Yes"/>
    <n v="1"/>
    <x v="3"/>
    <x v="0"/>
    <n v="35"/>
    <x v="0"/>
    <x v="1"/>
  </r>
  <r>
    <n v="25940"/>
    <x v="1"/>
    <x v="1"/>
    <n v="20000"/>
    <x v="4"/>
    <x v="3"/>
    <s v="Clerical"/>
    <s v="Yes"/>
    <n v="2"/>
    <x v="2"/>
    <x v="1"/>
    <n v="55"/>
    <x v="1"/>
    <x v="1"/>
  </r>
  <r>
    <n v="25598"/>
    <x v="0"/>
    <x v="0"/>
    <n v="40000"/>
    <x v="3"/>
    <x v="4"/>
    <s v="Clerical"/>
    <s v="Yes"/>
    <n v="0"/>
    <x v="0"/>
    <x v="0"/>
    <n v="36"/>
    <x v="0"/>
    <x v="1"/>
  </r>
  <r>
    <n v="21564"/>
    <x v="1"/>
    <x v="0"/>
    <n v="80000"/>
    <x v="3"/>
    <x v="0"/>
    <s v="Professional"/>
    <s v="Yes"/>
    <n v="4"/>
    <x v="4"/>
    <x v="1"/>
    <n v="35"/>
    <x v="0"/>
    <x v="0"/>
  </r>
  <r>
    <n v="19193"/>
    <x v="1"/>
    <x v="1"/>
    <n v="40000"/>
    <x v="4"/>
    <x v="1"/>
    <s v="Clerical"/>
    <s v="Yes"/>
    <n v="0"/>
    <x v="3"/>
    <x v="0"/>
    <n v="35"/>
    <x v="0"/>
    <x v="1"/>
  </r>
  <r>
    <n v="26412"/>
    <x v="0"/>
    <x v="0"/>
    <n v="80000"/>
    <x v="2"/>
    <x v="2"/>
    <s v="Management"/>
    <s v="No"/>
    <n v="3"/>
    <x v="2"/>
    <x v="0"/>
    <n v="56"/>
    <x v="1"/>
    <x v="0"/>
  </r>
  <r>
    <n v="27184"/>
    <x v="1"/>
    <x v="1"/>
    <n v="40000"/>
    <x v="4"/>
    <x v="1"/>
    <s v="Clerical"/>
    <s v="No"/>
    <n v="1"/>
    <x v="0"/>
    <x v="0"/>
    <n v="34"/>
    <x v="0"/>
    <x v="0"/>
  </r>
  <r>
    <n v="12590"/>
    <x v="1"/>
    <x v="1"/>
    <n v="30000"/>
    <x v="0"/>
    <x v="0"/>
    <s v="Clerical"/>
    <s v="Yes"/>
    <n v="0"/>
    <x v="0"/>
    <x v="0"/>
    <n v="63"/>
    <x v="1"/>
    <x v="0"/>
  </r>
  <r>
    <n v="17841"/>
    <x v="1"/>
    <x v="1"/>
    <n v="30000"/>
    <x v="3"/>
    <x v="1"/>
    <s v="Clerical"/>
    <s v="No"/>
    <n v="1"/>
    <x v="0"/>
    <x v="0"/>
    <n v="29"/>
    <x v="2"/>
    <x v="1"/>
  </r>
  <r>
    <n v="18283"/>
    <x v="1"/>
    <x v="0"/>
    <n v="100000"/>
    <x v="3"/>
    <x v="0"/>
    <s v="Professional"/>
    <s v="No"/>
    <n v="1"/>
    <x v="2"/>
    <x v="1"/>
    <n v="40"/>
    <x v="0"/>
    <x v="0"/>
  </r>
  <r>
    <n v="18299"/>
    <x v="0"/>
    <x v="1"/>
    <n v="70000"/>
    <x v="2"/>
    <x v="1"/>
    <s v="Skilled Manual"/>
    <s v="Yes"/>
    <n v="2"/>
    <x v="2"/>
    <x v="1"/>
    <n v="44"/>
    <x v="0"/>
    <x v="0"/>
  </r>
  <r>
    <n v="16466"/>
    <x v="1"/>
    <x v="0"/>
    <n v="20000"/>
    <x v="3"/>
    <x v="3"/>
    <s v="Manual"/>
    <s v="No"/>
    <n v="2"/>
    <x v="0"/>
    <x v="0"/>
    <n v="32"/>
    <x v="0"/>
    <x v="1"/>
  </r>
  <r>
    <n v="19273"/>
    <x v="0"/>
    <x v="0"/>
    <n v="20000"/>
    <x v="4"/>
    <x v="1"/>
    <s v="Manual"/>
    <s v="Yes"/>
    <n v="0"/>
    <x v="0"/>
    <x v="0"/>
    <n v="63"/>
    <x v="1"/>
    <x v="0"/>
  </r>
  <r>
    <n v="22400"/>
    <x v="0"/>
    <x v="1"/>
    <n v="10000"/>
    <x v="3"/>
    <x v="1"/>
    <s v="Manual"/>
    <s v="No"/>
    <n v="1"/>
    <x v="0"/>
    <x v="1"/>
    <n v="26"/>
    <x v="2"/>
    <x v="1"/>
  </r>
  <r>
    <n v="20942"/>
    <x v="1"/>
    <x v="0"/>
    <n v="20000"/>
    <x v="3"/>
    <x v="2"/>
    <s v="Manual"/>
    <s v="No"/>
    <n v="1"/>
    <x v="2"/>
    <x v="0"/>
    <n v="31"/>
    <x v="0"/>
    <x v="0"/>
  </r>
  <r>
    <n v="18484"/>
    <x v="1"/>
    <x v="1"/>
    <n v="80000"/>
    <x v="4"/>
    <x v="2"/>
    <s v="Skilled Manual"/>
    <s v="No"/>
    <n v="2"/>
    <x v="3"/>
    <x v="1"/>
    <n v="50"/>
    <x v="0"/>
    <x v="1"/>
  </r>
  <r>
    <n v="12291"/>
    <x v="1"/>
    <x v="1"/>
    <n v="90000"/>
    <x v="2"/>
    <x v="1"/>
    <s v="Professional"/>
    <s v="No"/>
    <n v="2"/>
    <x v="1"/>
    <x v="0"/>
    <n v="62"/>
    <x v="1"/>
    <x v="1"/>
  </r>
  <r>
    <n v="28380"/>
    <x v="1"/>
    <x v="0"/>
    <n v="10000"/>
    <x v="2"/>
    <x v="3"/>
    <s v="Manual"/>
    <s v="No"/>
    <n v="2"/>
    <x v="0"/>
    <x v="0"/>
    <n v="41"/>
    <x v="0"/>
    <x v="0"/>
  </r>
  <r>
    <n v="17891"/>
    <x v="0"/>
    <x v="0"/>
    <n v="10000"/>
    <x v="4"/>
    <x v="1"/>
    <s v="Manual"/>
    <s v="Yes"/>
    <n v="1"/>
    <x v="0"/>
    <x v="0"/>
    <n v="50"/>
    <x v="0"/>
    <x v="1"/>
  </r>
  <r>
    <n v="27832"/>
    <x v="1"/>
    <x v="0"/>
    <n v="30000"/>
    <x v="3"/>
    <x v="1"/>
    <s v="Clerical"/>
    <s v="No"/>
    <n v="1"/>
    <x v="1"/>
    <x v="0"/>
    <n v="30"/>
    <x v="2"/>
    <x v="0"/>
  </r>
  <r>
    <n v="26863"/>
    <x v="1"/>
    <x v="1"/>
    <n v="20000"/>
    <x v="3"/>
    <x v="2"/>
    <s v="Manual"/>
    <s v="No"/>
    <n v="1"/>
    <x v="1"/>
    <x v="0"/>
    <n v="28"/>
    <x v="2"/>
    <x v="0"/>
  </r>
  <r>
    <n v="16259"/>
    <x v="1"/>
    <x v="0"/>
    <n v="10000"/>
    <x v="5"/>
    <x v="3"/>
    <s v="Manual"/>
    <s v="Yes"/>
    <n v="2"/>
    <x v="0"/>
    <x v="0"/>
    <n v="40"/>
    <x v="0"/>
    <x v="1"/>
  </r>
  <r>
    <n v="27803"/>
    <x v="1"/>
    <x v="0"/>
    <n v="30000"/>
    <x v="4"/>
    <x v="1"/>
    <s v="Clerical"/>
    <s v="No"/>
    <n v="0"/>
    <x v="0"/>
    <x v="0"/>
    <n v="43"/>
    <x v="0"/>
    <x v="0"/>
  </r>
  <r>
    <n v="14347"/>
    <x v="1"/>
    <x v="0"/>
    <n v="40000"/>
    <x v="4"/>
    <x v="0"/>
    <s v="Management"/>
    <s v="Yes"/>
    <n v="2"/>
    <x v="2"/>
    <x v="1"/>
    <n v="65"/>
    <x v="1"/>
    <x v="1"/>
  </r>
  <r>
    <n v="17703"/>
    <x v="0"/>
    <x v="0"/>
    <n v="10000"/>
    <x v="0"/>
    <x v="4"/>
    <s v="Manual"/>
    <s v="Yes"/>
    <n v="0"/>
    <x v="0"/>
    <x v="0"/>
    <n v="40"/>
    <x v="0"/>
    <x v="0"/>
  </r>
  <r>
    <n v="17185"/>
    <x v="0"/>
    <x v="0"/>
    <n v="170000"/>
    <x v="5"/>
    <x v="1"/>
    <s v="Professional"/>
    <s v="No"/>
    <n v="3"/>
    <x v="2"/>
    <x v="0"/>
    <n v="48"/>
    <x v="0"/>
    <x v="1"/>
  </r>
  <r>
    <n v="29380"/>
    <x v="0"/>
    <x v="0"/>
    <n v="20000"/>
    <x v="1"/>
    <x v="2"/>
    <s v="Manual"/>
    <s v="Yes"/>
    <n v="0"/>
    <x v="0"/>
    <x v="0"/>
    <n v="41"/>
    <x v="0"/>
    <x v="1"/>
  </r>
  <r>
    <n v="23986"/>
    <x v="0"/>
    <x v="0"/>
    <n v="20000"/>
    <x v="0"/>
    <x v="0"/>
    <s v="Clerical"/>
    <s v="Yes"/>
    <n v="0"/>
    <x v="0"/>
    <x v="0"/>
    <n v="66"/>
    <x v="1"/>
    <x v="1"/>
  </r>
  <r>
    <n v="24466"/>
    <x v="0"/>
    <x v="0"/>
    <n v="60000"/>
    <x v="0"/>
    <x v="1"/>
    <s v="Skilled Manual"/>
    <s v="Yes"/>
    <n v="1"/>
    <x v="2"/>
    <x v="1"/>
    <n v="46"/>
    <x v="0"/>
    <x v="1"/>
  </r>
  <r>
    <n v="29097"/>
    <x v="1"/>
    <x v="0"/>
    <n v="40000"/>
    <x v="4"/>
    <x v="1"/>
    <s v="Skilled Manual"/>
    <s v="Yes"/>
    <n v="2"/>
    <x v="2"/>
    <x v="1"/>
    <n v="52"/>
    <x v="0"/>
    <x v="1"/>
  </r>
  <r>
    <n v="19487"/>
    <x v="0"/>
    <x v="1"/>
    <n v="30000"/>
    <x v="4"/>
    <x v="1"/>
    <s v="Clerical"/>
    <s v="No"/>
    <n v="2"/>
    <x v="0"/>
    <x v="0"/>
    <n v="42"/>
    <x v="0"/>
    <x v="0"/>
  </r>
  <r>
    <n v="14939"/>
    <x v="1"/>
    <x v="1"/>
    <n v="40000"/>
    <x v="3"/>
    <x v="0"/>
    <s v="Clerical"/>
    <s v="Yes"/>
    <n v="0"/>
    <x v="0"/>
    <x v="0"/>
    <n v="39"/>
    <x v="0"/>
    <x v="1"/>
  </r>
  <r>
    <n v="13826"/>
    <x v="1"/>
    <x v="0"/>
    <n v="30000"/>
    <x v="3"/>
    <x v="1"/>
    <s v="Clerical"/>
    <s v="No"/>
    <n v="1"/>
    <x v="0"/>
    <x v="0"/>
    <n v="28"/>
    <x v="2"/>
    <x v="0"/>
  </r>
  <r>
    <n v="20619"/>
    <x v="1"/>
    <x v="1"/>
    <n v="80000"/>
    <x v="3"/>
    <x v="0"/>
    <s v="Professional"/>
    <s v="No"/>
    <n v="4"/>
    <x v="4"/>
    <x v="1"/>
    <n v="35"/>
    <x v="0"/>
    <x v="0"/>
  </r>
  <r>
    <n v="12558"/>
    <x v="0"/>
    <x v="0"/>
    <n v="20000"/>
    <x v="0"/>
    <x v="0"/>
    <s v="Clerical"/>
    <s v="Yes"/>
    <n v="0"/>
    <x v="0"/>
    <x v="0"/>
    <n v="65"/>
    <x v="1"/>
    <x v="0"/>
  </r>
  <r>
    <n v="24871"/>
    <x v="1"/>
    <x v="0"/>
    <n v="90000"/>
    <x v="5"/>
    <x v="2"/>
    <s v="Management"/>
    <s v="No"/>
    <n v="3"/>
    <x v="2"/>
    <x v="0"/>
    <n v="56"/>
    <x v="1"/>
    <x v="0"/>
  </r>
  <r>
    <n v="17319"/>
    <x v="1"/>
    <x v="0"/>
    <n v="70000"/>
    <x v="3"/>
    <x v="0"/>
    <s v="Professional"/>
    <s v="No"/>
    <n v="1"/>
    <x v="2"/>
    <x v="1"/>
    <n v="42"/>
    <x v="0"/>
    <x v="0"/>
  </r>
  <r>
    <n v="28906"/>
    <x v="0"/>
    <x v="1"/>
    <n v="80000"/>
    <x v="5"/>
    <x v="2"/>
    <s v="Professional"/>
    <s v="Yes"/>
    <n v="2"/>
    <x v="4"/>
    <x v="0"/>
    <n v="54"/>
    <x v="0"/>
    <x v="0"/>
  </r>
  <r>
    <n v="12808"/>
    <x v="0"/>
    <x v="1"/>
    <n v="40000"/>
    <x v="3"/>
    <x v="0"/>
    <s v="Clerical"/>
    <s v="Yes"/>
    <n v="0"/>
    <x v="0"/>
    <x v="0"/>
    <n v="38"/>
    <x v="0"/>
    <x v="1"/>
  </r>
  <r>
    <n v="20567"/>
    <x v="0"/>
    <x v="1"/>
    <n v="130000"/>
    <x v="5"/>
    <x v="1"/>
    <s v="Professional"/>
    <s v="No"/>
    <n v="4"/>
    <x v="2"/>
    <x v="0"/>
    <n v="61"/>
    <x v="1"/>
    <x v="1"/>
  </r>
  <r>
    <n v="25502"/>
    <x v="0"/>
    <x v="0"/>
    <n v="40000"/>
    <x v="0"/>
    <x v="0"/>
    <s v="Skilled Manual"/>
    <s v="Yes"/>
    <n v="0"/>
    <x v="0"/>
    <x v="0"/>
    <n v="43"/>
    <x v="0"/>
    <x v="1"/>
  </r>
  <r>
    <n v="15580"/>
    <x v="0"/>
    <x v="1"/>
    <n v="60000"/>
    <x v="4"/>
    <x v="0"/>
    <s v="Professional"/>
    <s v="Yes"/>
    <n v="1"/>
    <x v="1"/>
    <x v="1"/>
    <n v="38"/>
    <x v="0"/>
    <x v="1"/>
  </r>
  <r>
    <n v="24185"/>
    <x v="1"/>
    <x v="0"/>
    <n v="10000"/>
    <x v="0"/>
    <x v="2"/>
    <s v="Manual"/>
    <s v="No"/>
    <n v="1"/>
    <x v="3"/>
    <x v="0"/>
    <n v="45"/>
    <x v="0"/>
    <x v="0"/>
  </r>
  <r>
    <n v="19291"/>
    <x v="1"/>
    <x v="0"/>
    <n v="10000"/>
    <x v="4"/>
    <x v="2"/>
    <s v="Manual"/>
    <s v="Yes"/>
    <n v="0"/>
    <x v="0"/>
    <x v="0"/>
    <n v="35"/>
    <x v="0"/>
    <x v="0"/>
  </r>
  <r>
    <n v="16713"/>
    <x v="0"/>
    <x v="1"/>
    <n v="40000"/>
    <x v="4"/>
    <x v="0"/>
    <s v="Management"/>
    <s v="Yes"/>
    <n v="1"/>
    <x v="0"/>
    <x v="1"/>
    <n v="52"/>
    <x v="0"/>
    <x v="1"/>
  </r>
  <r>
    <n v="16185"/>
    <x v="1"/>
    <x v="1"/>
    <n v="60000"/>
    <x v="5"/>
    <x v="0"/>
    <s v="Professional"/>
    <s v="Yes"/>
    <n v="3"/>
    <x v="4"/>
    <x v="1"/>
    <n v="41"/>
    <x v="0"/>
    <x v="0"/>
  </r>
  <r>
    <n v="14927"/>
    <x v="0"/>
    <x v="0"/>
    <n v="30000"/>
    <x v="0"/>
    <x v="0"/>
    <s v="Clerical"/>
    <s v="Yes"/>
    <n v="0"/>
    <x v="0"/>
    <x v="0"/>
    <n v="37"/>
    <x v="0"/>
    <x v="1"/>
  </r>
  <r>
    <n v="29337"/>
    <x v="1"/>
    <x v="1"/>
    <n v="30000"/>
    <x v="4"/>
    <x v="1"/>
    <s v="Clerical"/>
    <s v="Yes"/>
    <n v="2"/>
    <x v="2"/>
    <x v="1"/>
    <n v="68"/>
    <x v="1"/>
    <x v="0"/>
  </r>
  <r>
    <n v="29355"/>
    <x v="0"/>
    <x v="0"/>
    <n v="40000"/>
    <x v="3"/>
    <x v="4"/>
    <s v="Clerical"/>
    <s v="Yes"/>
    <n v="0"/>
    <x v="0"/>
    <x v="0"/>
    <n v="37"/>
    <x v="0"/>
    <x v="1"/>
  </r>
  <r>
    <n v="25303"/>
    <x v="1"/>
    <x v="1"/>
    <n v="30000"/>
    <x v="3"/>
    <x v="2"/>
    <s v="Manual"/>
    <s v="Yes"/>
    <n v="1"/>
    <x v="1"/>
    <x v="0"/>
    <n v="33"/>
    <x v="0"/>
    <x v="1"/>
  </r>
  <r>
    <n v="14813"/>
    <x v="1"/>
    <x v="0"/>
    <n v="20000"/>
    <x v="5"/>
    <x v="2"/>
    <s v="Manual"/>
    <s v="Yes"/>
    <n v="1"/>
    <x v="0"/>
    <x v="0"/>
    <n v="43"/>
    <x v="0"/>
    <x v="1"/>
  </r>
  <r>
    <n v="16438"/>
    <x v="0"/>
    <x v="0"/>
    <n v="10000"/>
    <x v="3"/>
    <x v="3"/>
    <s v="Manual"/>
    <s v="No"/>
    <n v="2"/>
    <x v="0"/>
    <x v="0"/>
    <n v="30"/>
    <x v="2"/>
    <x v="0"/>
  </r>
  <r>
    <n v="14238"/>
    <x v="0"/>
    <x v="1"/>
    <n v="120000"/>
    <x v="3"/>
    <x v="3"/>
    <s v="Professional"/>
    <s v="Yes"/>
    <n v="4"/>
    <x v="4"/>
    <x v="1"/>
    <n v="36"/>
    <x v="0"/>
    <x v="1"/>
  </r>
  <r>
    <n v="16200"/>
    <x v="1"/>
    <x v="0"/>
    <n v="10000"/>
    <x v="3"/>
    <x v="3"/>
    <s v="Manual"/>
    <s v="No"/>
    <n v="2"/>
    <x v="0"/>
    <x v="0"/>
    <n v="35"/>
    <x v="0"/>
    <x v="0"/>
  </r>
  <r>
    <n v="24857"/>
    <x v="0"/>
    <x v="0"/>
    <n v="130000"/>
    <x v="1"/>
    <x v="2"/>
    <s v="Professional"/>
    <s v="Yes"/>
    <n v="4"/>
    <x v="0"/>
    <x v="0"/>
    <n v="52"/>
    <x v="0"/>
    <x v="0"/>
  </r>
  <r>
    <n v="26956"/>
    <x v="1"/>
    <x v="0"/>
    <n v="20000"/>
    <x v="3"/>
    <x v="1"/>
    <s v="Manual"/>
    <s v="No"/>
    <n v="1"/>
    <x v="1"/>
    <x v="0"/>
    <n v="36"/>
    <x v="0"/>
    <x v="1"/>
  </r>
  <r>
    <n v="14517"/>
    <x v="0"/>
    <x v="0"/>
    <n v="20000"/>
    <x v="1"/>
    <x v="2"/>
    <s v="Skilled Manual"/>
    <s v="No"/>
    <n v="2"/>
    <x v="3"/>
    <x v="1"/>
    <n v="62"/>
    <x v="1"/>
    <x v="0"/>
  </r>
  <r>
    <n v="12678"/>
    <x v="1"/>
    <x v="0"/>
    <n v="130000"/>
    <x v="5"/>
    <x v="2"/>
    <s v="Management"/>
    <s v="Yes"/>
    <n v="4"/>
    <x v="0"/>
    <x v="1"/>
    <n v="31"/>
    <x v="0"/>
    <x v="0"/>
  </r>
  <r>
    <n v="16188"/>
    <x v="1"/>
    <x v="0"/>
    <n v="20000"/>
    <x v="3"/>
    <x v="3"/>
    <s v="Manual"/>
    <s v="No"/>
    <n v="2"/>
    <x v="3"/>
    <x v="0"/>
    <n v="26"/>
    <x v="2"/>
    <x v="0"/>
  </r>
  <r>
    <n v="27969"/>
    <x v="0"/>
    <x v="1"/>
    <n v="80000"/>
    <x v="3"/>
    <x v="0"/>
    <s v="Professional"/>
    <s v="Yes"/>
    <n v="2"/>
    <x v="4"/>
    <x v="1"/>
    <n v="29"/>
    <x v="2"/>
    <x v="1"/>
  </r>
  <r>
    <n v="15752"/>
    <x v="0"/>
    <x v="1"/>
    <n v="80000"/>
    <x v="4"/>
    <x v="2"/>
    <s v="Skilled Manual"/>
    <s v="No"/>
    <n v="2"/>
    <x v="3"/>
    <x v="1"/>
    <n v="50"/>
    <x v="0"/>
    <x v="1"/>
  </r>
  <r>
    <n v="27745"/>
    <x v="1"/>
    <x v="1"/>
    <n v="40000"/>
    <x v="4"/>
    <x v="0"/>
    <s v="Management"/>
    <s v="Yes"/>
    <n v="2"/>
    <x v="2"/>
    <x v="1"/>
    <n v="63"/>
    <x v="1"/>
    <x v="1"/>
  </r>
  <r>
    <n v="20828"/>
    <x v="0"/>
    <x v="0"/>
    <n v="30000"/>
    <x v="5"/>
    <x v="4"/>
    <s v="Clerical"/>
    <s v="Yes"/>
    <n v="0"/>
    <x v="0"/>
    <x v="0"/>
    <n v="45"/>
    <x v="0"/>
    <x v="1"/>
  </r>
  <r>
    <n v="19461"/>
    <x v="1"/>
    <x v="0"/>
    <n v="10000"/>
    <x v="5"/>
    <x v="3"/>
    <s v="Manual"/>
    <s v="Yes"/>
    <n v="2"/>
    <x v="0"/>
    <x v="0"/>
    <n v="40"/>
    <x v="0"/>
    <x v="0"/>
  </r>
  <r>
    <n v="26941"/>
    <x v="0"/>
    <x v="1"/>
    <n v="30000"/>
    <x v="3"/>
    <x v="0"/>
    <s v="Clerical"/>
    <s v="Yes"/>
    <n v="0"/>
    <x v="0"/>
    <x v="0"/>
    <n v="47"/>
    <x v="0"/>
    <x v="1"/>
  </r>
  <r>
    <n v="28412"/>
    <x v="1"/>
    <x v="1"/>
    <n v="20000"/>
    <x v="3"/>
    <x v="2"/>
    <s v="Manual"/>
    <s v="No"/>
    <n v="1"/>
    <x v="1"/>
    <x v="0"/>
    <n v="29"/>
    <x v="2"/>
    <x v="0"/>
  </r>
  <r>
    <n v="24485"/>
    <x v="1"/>
    <x v="1"/>
    <n v="40000"/>
    <x v="4"/>
    <x v="0"/>
    <s v="Management"/>
    <s v="No"/>
    <n v="1"/>
    <x v="2"/>
    <x v="1"/>
    <n v="52"/>
    <x v="0"/>
    <x v="1"/>
  </r>
  <r>
    <n v="16514"/>
    <x v="1"/>
    <x v="1"/>
    <n v="10000"/>
    <x v="3"/>
    <x v="1"/>
    <s v="Manual"/>
    <s v="Yes"/>
    <n v="1"/>
    <x v="3"/>
    <x v="1"/>
    <n v="26"/>
    <x v="2"/>
    <x v="1"/>
  </r>
  <r>
    <n v="17191"/>
    <x v="1"/>
    <x v="1"/>
    <n v="130000"/>
    <x v="1"/>
    <x v="1"/>
    <s v="Professional"/>
    <s v="No"/>
    <n v="3"/>
    <x v="0"/>
    <x v="0"/>
    <n v="51"/>
    <x v="0"/>
    <x v="1"/>
  </r>
  <r>
    <n v="19608"/>
    <x v="0"/>
    <x v="1"/>
    <n v="80000"/>
    <x v="2"/>
    <x v="0"/>
    <s v="Professional"/>
    <s v="Yes"/>
    <n v="4"/>
    <x v="3"/>
    <x v="1"/>
    <n v="40"/>
    <x v="0"/>
    <x v="0"/>
  </r>
  <r>
    <n v="24119"/>
    <x v="1"/>
    <x v="1"/>
    <n v="30000"/>
    <x v="3"/>
    <x v="1"/>
    <s v="Clerical"/>
    <s v="No"/>
    <n v="1"/>
    <x v="1"/>
    <x v="0"/>
    <n v="29"/>
    <x v="2"/>
    <x v="0"/>
  </r>
  <r>
    <n v="25458"/>
    <x v="0"/>
    <x v="1"/>
    <n v="20000"/>
    <x v="0"/>
    <x v="2"/>
    <s v="Manual"/>
    <s v="No"/>
    <n v="1"/>
    <x v="3"/>
    <x v="0"/>
    <n v="40"/>
    <x v="0"/>
    <x v="1"/>
  </r>
  <r>
    <n v="26886"/>
    <x v="1"/>
    <x v="0"/>
    <n v="30000"/>
    <x v="3"/>
    <x v="1"/>
    <s v="Clerical"/>
    <s v="No"/>
    <n v="1"/>
    <x v="0"/>
    <x v="0"/>
    <n v="29"/>
    <x v="2"/>
    <x v="1"/>
  </r>
  <r>
    <n v="28436"/>
    <x v="1"/>
    <x v="1"/>
    <n v="30000"/>
    <x v="3"/>
    <x v="1"/>
    <s v="Clerical"/>
    <s v="No"/>
    <n v="1"/>
    <x v="0"/>
    <x v="0"/>
    <n v="30"/>
    <x v="2"/>
    <x v="1"/>
  </r>
  <r>
    <n v="19562"/>
    <x v="1"/>
    <x v="0"/>
    <n v="60000"/>
    <x v="4"/>
    <x v="0"/>
    <s v="Professional"/>
    <s v="Yes"/>
    <n v="1"/>
    <x v="1"/>
    <x v="1"/>
    <n v="37"/>
    <x v="0"/>
    <x v="1"/>
  </r>
  <r>
    <n v="15608"/>
    <x v="1"/>
    <x v="0"/>
    <n v="30000"/>
    <x v="3"/>
    <x v="1"/>
    <s v="Clerical"/>
    <s v="No"/>
    <n v="1"/>
    <x v="1"/>
    <x v="0"/>
    <n v="33"/>
    <x v="0"/>
    <x v="0"/>
  </r>
  <r>
    <n v="16487"/>
    <x v="1"/>
    <x v="0"/>
    <n v="30000"/>
    <x v="1"/>
    <x v="2"/>
    <s v="Skilled Manual"/>
    <s v="Yes"/>
    <n v="2"/>
    <x v="2"/>
    <x v="1"/>
    <n v="55"/>
    <x v="1"/>
    <x v="0"/>
  </r>
  <r>
    <n v="17197"/>
    <x v="1"/>
    <x v="0"/>
    <n v="90000"/>
    <x v="2"/>
    <x v="1"/>
    <s v="Professional"/>
    <s v="Yes"/>
    <n v="2"/>
    <x v="4"/>
    <x v="0"/>
    <n v="62"/>
    <x v="1"/>
    <x v="0"/>
  </r>
  <r>
    <n v="12507"/>
    <x v="0"/>
    <x v="1"/>
    <n v="30000"/>
    <x v="0"/>
    <x v="1"/>
    <s v="Clerical"/>
    <s v="Yes"/>
    <n v="1"/>
    <x v="0"/>
    <x v="0"/>
    <n v="43"/>
    <x v="0"/>
    <x v="0"/>
  </r>
  <r>
    <n v="23940"/>
    <x v="0"/>
    <x v="1"/>
    <n v="40000"/>
    <x v="0"/>
    <x v="0"/>
    <s v="Skilled Manual"/>
    <s v="Yes"/>
    <n v="1"/>
    <x v="0"/>
    <x v="0"/>
    <n v="44"/>
    <x v="0"/>
    <x v="1"/>
  </r>
  <r>
    <n v="19441"/>
    <x v="0"/>
    <x v="1"/>
    <n v="40000"/>
    <x v="3"/>
    <x v="4"/>
    <s v="Clerical"/>
    <s v="Yes"/>
    <n v="0"/>
    <x v="0"/>
    <x v="0"/>
    <n v="25"/>
    <x v="2"/>
    <x v="1"/>
  </r>
  <r>
    <n v="26852"/>
    <x v="0"/>
    <x v="0"/>
    <n v="20000"/>
    <x v="1"/>
    <x v="2"/>
    <s v="Manual"/>
    <s v="Yes"/>
    <n v="2"/>
    <x v="0"/>
    <x v="0"/>
    <n v="43"/>
    <x v="0"/>
    <x v="0"/>
  </r>
  <r>
    <n v="12274"/>
    <x v="1"/>
    <x v="1"/>
    <n v="10000"/>
    <x v="4"/>
    <x v="2"/>
    <s v="Manual"/>
    <s v="Yes"/>
    <n v="0"/>
    <x v="0"/>
    <x v="0"/>
    <n v="35"/>
    <x v="0"/>
    <x v="0"/>
  </r>
  <r>
    <n v="20236"/>
    <x v="1"/>
    <x v="1"/>
    <n v="60000"/>
    <x v="1"/>
    <x v="0"/>
    <s v="Professional"/>
    <s v="No"/>
    <n v="2"/>
    <x v="0"/>
    <x v="1"/>
    <n v="43"/>
    <x v="0"/>
    <x v="1"/>
  </r>
  <r>
    <n v="24149"/>
    <x v="0"/>
    <x v="1"/>
    <n v="10000"/>
    <x v="4"/>
    <x v="1"/>
    <s v="Manual"/>
    <s v="Yes"/>
    <n v="0"/>
    <x v="3"/>
    <x v="0"/>
    <n v="49"/>
    <x v="0"/>
    <x v="0"/>
  </r>
  <r>
    <n v="26139"/>
    <x v="1"/>
    <x v="1"/>
    <n v="60000"/>
    <x v="0"/>
    <x v="1"/>
    <s v="Skilled Manual"/>
    <s v="Yes"/>
    <n v="1"/>
    <x v="2"/>
    <x v="1"/>
    <n v="45"/>
    <x v="0"/>
    <x v="0"/>
  </r>
  <r>
    <n v="18491"/>
    <x v="1"/>
    <x v="0"/>
    <n v="70000"/>
    <x v="4"/>
    <x v="2"/>
    <s v="Professional"/>
    <s v="Yes"/>
    <n v="2"/>
    <x v="2"/>
    <x v="1"/>
    <n v="49"/>
    <x v="0"/>
    <x v="1"/>
  </r>
  <r>
    <n v="22707"/>
    <x v="1"/>
    <x v="0"/>
    <n v="30000"/>
    <x v="3"/>
    <x v="1"/>
    <s v="Clerical"/>
    <s v="No"/>
    <n v="1"/>
    <x v="1"/>
    <x v="0"/>
    <n v="30"/>
    <x v="2"/>
    <x v="0"/>
  </r>
  <r>
    <n v="20430"/>
    <x v="0"/>
    <x v="1"/>
    <n v="70000"/>
    <x v="4"/>
    <x v="1"/>
    <s v="Skilled Manual"/>
    <s v="Yes"/>
    <n v="2"/>
    <x v="2"/>
    <x v="1"/>
    <n v="52"/>
    <x v="0"/>
    <x v="1"/>
  </r>
  <r>
    <n v="27494"/>
    <x v="1"/>
    <x v="0"/>
    <n v="40000"/>
    <x v="4"/>
    <x v="1"/>
    <s v="Skilled Manual"/>
    <s v="No"/>
    <n v="2"/>
    <x v="3"/>
    <x v="1"/>
    <n v="53"/>
    <x v="0"/>
    <x v="1"/>
  </r>
  <r>
    <n v="26829"/>
    <x v="0"/>
    <x v="0"/>
    <n v="40000"/>
    <x v="3"/>
    <x v="0"/>
    <s v="Clerical"/>
    <s v="Yes"/>
    <n v="0"/>
    <x v="0"/>
    <x v="0"/>
    <n v="38"/>
    <x v="0"/>
    <x v="1"/>
  </r>
  <r>
    <n v="28395"/>
    <x v="1"/>
    <x v="1"/>
    <n v="40000"/>
    <x v="3"/>
    <x v="0"/>
    <s v="Professional"/>
    <s v="No"/>
    <n v="0"/>
    <x v="0"/>
    <x v="0"/>
    <n v="39"/>
    <x v="0"/>
    <x v="1"/>
  </r>
  <r>
    <n v="21006"/>
    <x v="1"/>
    <x v="0"/>
    <n v="30000"/>
    <x v="0"/>
    <x v="1"/>
    <s v="Manual"/>
    <s v="No"/>
    <n v="0"/>
    <x v="0"/>
    <x v="0"/>
    <n v="46"/>
    <x v="0"/>
    <x v="1"/>
  </r>
  <r>
    <n v="14682"/>
    <x v="1"/>
    <x v="0"/>
    <n v="70000"/>
    <x v="3"/>
    <x v="0"/>
    <s v="Professional"/>
    <s v="No"/>
    <n v="1"/>
    <x v="2"/>
    <x v="1"/>
    <n v="38"/>
    <x v="0"/>
    <x v="0"/>
  </r>
  <r>
    <n v="17650"/>
    <x v="1"/>
    <x v="0"/>
    <n v="40000"/>
    <x v="4"/>
    <x v="1"/>
    <s v="Clerical"/>
    <s v="Yes"/>
    <n v="2"/>
    <x v="3"/>
    <x v="0"/>
    <n v="35"/>
    <x v="0"/>
    <x v="0"/>
  </r>
  <r>
    <n v="29191"/>
    <x v="1"/>
    <x v="0"/>
    <n v="130000"/>
    <x v="0"/>
    <x v="4"/>
    <s v="Management"/>
    <s v="No"/>
    <n v="1"/>
    <x v="0"/>
    <x v="1"/>
    <n v="36"/>
    <x v="0"/>
    <x v="1"/>
  </r>
  <r>
    <n v="15030"/>
    <x v="0"/>
    <x v="1"/>
    <n v="20000"/>
    <x v="3"/>
    <x v="0"/>
    <s v="Clerical"/>
    <s v="Yes"/>
    <n v="0"/>
    <x v="0"/>
    <x v="1"/>
    <n v="26"/>
    <x v="2"/>
    <x v="1"/>
  </r>
  <r>
    <n v="24140"/>
    <x v="1"/>
    <x v="1"/>
    <n v="10000"/>
    <x v="3"/>
    <x v="4"/>
    <s v="Manual"/>
    <s v="No"/>
    <n v="0"/>
    <x v="0"/>
    <x v="0"/>
    <n v="30"/>
    <x v="2"/>
    <x v="1"/>
  </r>
  <r>
    <n v="22496"/>
    <x v="0"/>
    <x v="0"/>
    <n v="30000"/>
    <x v="0"/>
    <x v="0"/>
    <s v="Skilled Manual"/>
    <s v="Yes"/>
    <n v="2"/>
    <x v="0"/>
    <x v="0"/>
    <n v="42"/>
    <x v="0"/>
    <x v="0"/>
  </r>
  <r>
    <n v="24065"/>
    <x v="1"/>
    <x v="0"/>
    <n v="20000"/>
    <x v="3"/>
    <x v="2"/>
    <s v="Manual"/>
    <s v="Yes"/>
    <n v="0"/>
    <x v="0"/>
    <x v="0"/>
    <n v="40"/>
    <x v="0"/>
    <x v="1"/>
  </r>
  <r>
    <n v="19914"/>
    <x v="0"/>
    <x v="1"/>
    <n v="80000"/>
    <x v="2"/>
    <x v="0"/>
    <s v="Management"/>
    <s v="Yes"/>
    <n v="2"/>
    <x v="1"/>
    <x v="0"/>
    <n v="62"/>
    <x v="1"/>
    <x v="0"/>
  </r>
  <r>
    <n v="12871"/>
    <x v="1"/>
    <x v="0"/>
    <n v="30000"/>
    <x v="3"/>
    <x v="1"/>
    <s v="Clerical"/>
    <s v="No"/>
    <n v="1"/>
    <x v="1"/>
    <x v="0"/>
    <n v="29"/>
    <x v="2"/>
    <x v="0"/>
  </r>
  <r>
    <n v="22988"/>
    <x v="0"/>
    <x v="0"/>
    <n v="40000"/>
    <x v="4"/>
    <x v="0"/>
    <s v="Management"/>
    <s v="Yes"/>
    <n v="2"/>
    <x v="2"/>
    <x v="1"/>
    <n v="66"/>
    <x v="1"/>
    <x v="1"/>
  </r>
  <r>
    <n v="15922"/>
    <x v="0"/>
    <x v="1"/>
    <n v="150000"/>
    <x v="4"/>
    <x v="2"/>
    <s v="Professional"/>
    <s v="Yes"/>
    <n v="4"/>
    <x v="0"/>
    <x v="0"/>
    <n v="48"/>
    <x v="0"/>
    <x v="0"/>
  </r>
  <r>
    <n v="12344"/>
    <x v="1"/>
    <x v="0"/>
    <n v="80000"/>
    <x v="3"/>
    <x v="0"/>
    <s v="Professional"/>
    <s v="No"/>
    <n v="3"/>
    <x v="4"/>
    <x v="1"/>
    <n v="31"/>
    <x v="0"/>
    <x v="0"/>
  </r>
  <r>
    <n v="23627"/>
    <x v="1"/>
    <x v="0"/>
    <n v="100000"/>
    <x v="1"/>
    <x v="1"/>
    <s v="Management"/>
    <s v="No"/>
    <n v="4"/>
    <x v="2"/>
    <x v="0"/>
    <n v="56"/>
    <x v="1"/>
    <x v="0"/>
  </r>
  <r>
    <n v="27775"/>
    <x v="1"/>
    <x v="0"/>
    <n v="40000"/>
    <x v="3"/>
    <x v="0"/>
    <s v="Clerical"/>
    <s v="No"/>
    <n v="0"/>
    <x v="0"/>
    <x v="0"/>
    <n v="38"/>
    <x v="0"/>
    <x v="1"/>
  </r>
  <r>
    <n v="29301"/>
    <x v="0"/>
    <x v="1"/>
    <n v="80000"/>
    <x v="2"/>
    <x v="0"/>
    <s v="Professional"/>
    <s v="Yes"/>
    <n v="4"/>
    <x v="3"/>
    <x v="1"/>
    <n v="40"/>
    <x v="0"/>
    <x v="0"/>
  </r>
  <r>
    <n v="12716"/>
    <x v="1"/>
    <x v="1"/>
    <n v="30000"/>
    <x v="3"/>
    <x v="1"/>
    <s v="Clerical"/>
    <s v="Yes"/>
    <n v="1"/>
    <x v="1"/>
    <x v="0"/>
    <n v="32"/>
    <x v="0"/>
    <x v="0"/>
  </r>
  <r>
    <n v="12472"/>
    <x v="0"/>
    <x v="1"/>
    <n v="30000"/>
    <x v="0"/>
    <x v="0"/>
    <s v="Clerical"/>
    <s v="Yes"/>
    <n v="1"/>
    <x v="1"/>
    <x v="0"/>
    <n v="39"/>
    <x v="0"/>
    <x v="0"/>
  </r>
  <r>
    <n v="20970"/>
    <x v="1"/>
    <x v="1"/>
    <n v="10000"/>
    <x v="4"/>
    <x v="1"/>
    <s v="Manual"/>
    <s v="Yes"/>
    <n v="1"/>
    <x v="0"/>
    <x v="0"/>
    <n v="52"/>
    <x v="0"/>
    <x v="1"/>
  </r>
  <r>
    <n v="26818"/>
    <x v="1"/>
    <x v="1"/>
    <n v="10000"/>
    <x v="1"/>
    <x v="2"/>
    <s v="Manual"/>
    <s v="Yes"/>
    <n v="1"/>
    <x v="0"/>
    <x v="0"/>
    <n v="39"/>
    <x v="0"/>
    <x v="1"/>
  </r>
  <r>
    <n v="12993"/>
    <x v="0"/>
    <x v="1"/>
    <n v="60000"/>
    <x v="4"/>
    <x v="0"/>
    <s v="Professional"/>
    <s v="Yes"/>
    <n v="1"/>
    <x v="1"/>
    <x v="1"/>
    <n v="37"/>
    <x v="0"/>
    <x v="0"/>
  </r>
  <r>
    <n v="14192"/>
    <x v="0"/>
    <x v="1"/>
    <n v="90000"/>
    <x v="5"/>
    <x v="2"/>
    <s v="Management"/>
    <s v="Yes"/>
    <n v="3"/>
    <x v="2"/>
    <x v="0"/>
    <n v="56"/>
    <x v="1"/>
    <x v="1"/>
  </r>
  <r>
    <n v="19477"/>
    <x v="0"/>
    <x v="1"/>
    <n v="40000"/>
    <x v="3"/>
    <x v="0"/>
    <s v="Professional"/>
    <s v="Yes"/>
    <n v="0"/>
    <x v="0"/>
    <x v="0"/>
    <n v="40"/>
    <x v="0"/>
    <x v="1"/>
  </r>
  <r>
    <n v="26796"/>
    <x v="1"/>
    <x v="1"/>
    <n v="40000"/>
    <x v="4"/>
    <x v="0"/>
    <s v="Management"/>
    <s v="Yes"/>
    <n v="2"/>
    <x v="2"/>
    <x v="1"/>
    <n v="65"/>
    <x v="1"/>
    <x v="1"/>
  </r>
  <r>
    <n v="21094"/>
    <x v="1"/>
    <x v="0"/>
    <n v="30000"/>
    <x v="4"/>
    <x v="1"/>
    <s v="Clerical"/>
    <s v="Yes"/>
    <n v="2"/>
    <x v="0"/>
    <x v="0"/>
    <n v="42"/>
    <x v="0"/>
    <x v="0"/>
  </r>
  <r>
    <n v="12234"/>
    <x v="0"/>
    <x v="1"/>
    <n v="10000"/>
    <x v="4"/>
    <x v="1"/>
    <s v="Manual"/>
    <s v="Yes"/>
    <n v="1"/>
    <x v="1"/>
    <x v="0"/>
    <n v="52"/>
    <x v="0"/>
    <x v="0"/>
  </r>
  <r>
    <n v="28683"/>
    <x v="1"/>
    <x v="0"/>
    <n v="10000"/>
    <x v="0"/>
    <x v="2"/>
    <s v="Manual"/>
    <s v="No"/>
    <n v="1"/>
    <x v="2"/>
    <x v="0"/>
    <n v="35"/>
    <x v="0"/>
    <x v="1"/>
  </r>
  <r>
    <n v="17994"/>
    <x v="1"/>
    <x v="1"/>
    <n v="20000"/>
    <x v="4"/>
    <x v="2"/>
    <s v="Manual"/>
    <s v="Yes"/>
    <n v="2"/>
    <x v="0"/>
    <x v="0"/>
    <n v="42"/>
    <x v="0"/>
    <x v="0"/>
  </r>
  <r>
    <n v="24273"/>
    <x v="0"/>
    <x v="0"/>
    <n v="20000"/>
    <x v="4"/>
    <x v="3"/>
    <s v="Clerical"/>
    <s v="Yes"/>
    <n v="2"/>
    <x v="2"/>
    <x v="1"/>
    <n v="55"/>
    <x v="1"/>
    <x v="1"/>
  </r>
  <r>
    <n v="26547"/>
    <x v="1"/>
    <x v="0"/>
    <n v="30000"/>
    <x v="4"/>
    <x v="1"/>
    <s v="Clerical"/>
    <s v="No"/>
    <n v="2"/>
    <x v="2"/>
    <x v="1"/>
    <n v="60"/>
    <x v="1"/>
    <x v="1"/>
  </r>
  <r>
    <n v="22500"/>
    <x v="1"/>
    <x v="1"/>
    <n v="40000"/>
    <x v="3"/>
    <x v="0"/>
    <s v="Professional"/>
    <s v="No"/>
    <n v="0"/>
    <x v="0"/>
    <x v="0"/>
    <n v="40"/>
    <x v="0"/>
    <x v="1"/>
  </r>
  <r>
    <n v="23993"/>
    <x v="1"/>
    <x v="0"/>
    <n v="10000"/>
    <x v="3"/>
    <x v="1"/>
    <s v="Manual"/>
    <s v="No"/>
    <n v="1"/>
    <x v="0"/>
    <x v="1"/>
    <n v="26"/>
    <x v="2"/>
    <x v="1"/>
  </r>
  <r>
    <n v="14832"/>
    <x v="0"/>
    <x v="1"/>
    <n v="40000"/>
    <x v="0"/>
    <x v="0"/>
    <s v="Skilled Manual"/>
    <s v="Yes"/>
    <n v="0"/>
    <x v="0"/>
    <x v="0"/>
    <n v="42"/>
    <x v="0"/>
    <x v="1"/>
  </r>
  <r>
    <n v="16614"/>
    <x v="0"/>
    <x v="0"/>
    <n v="80000"/>
    <x v="3"/>
    <x v="0"/>
    <s v="Professional"/>
    <s v="Yes"/>
    <n v="3"/>
    <x v="4"/>
    <x v="1"/>
    <n v="32"/>
    <x v="0"/>
    <x v="0"/>
  </r>
  <r>
    <n v="20877"/>
    <x v="1"/>
    <x v="1"/>
    <n v="30000"/>
    <x v="0"/>
    <x v="0"/>
    <s v="Clerical"/>
    <s v="Yes"/>
    <n v="0"/>
    <x v="3"/>
    <x v="0"/>
    <n v="37"/>
    <x v="0"/>
    <x v="1"/>
  </r>
  <r>
    <n v="20729"/>
    <x v="0"/>
    <x v="0"/>
    <n v="40000"/>
    <x v="4"/>
    <x v="1"/>
    <s v="Clerical"/>
    <s v="No"/>
    <n v="1"/>
    <x v="0"/>
    <x v="0"/>
    <n v="34"/>
    <x v="0"/>
    <x v="0"/>
  </r>
  <r>
    <n v="22464"/>
    <x v="0"/>
    <x v="1"/>
    <n v="40000"/>
    <x v="3"/>
    <x v="4"/>
    <s v="Clerical"/>
    <s v="Yes"/>
    <n v="0"/>
    <x v="0"/>
    <x v="0"/>
    <n v="37"/>
    <x v="0"/>
    <x v="1"/>
  </r>
  <r>
    <n v="19475"/>
    <x v="0"/>
    <x v="0"/>
    <n v="40000"/>
    <x v="3"/>
    <x v="0"/>
    <s v="Professional"/>
    <s v="No"/>
    <n v="0"/>
    <x v="0"/>
    <x v="0"/>
    <n v="40"/>
    <x v="0"/>
    <x v="1"/>
  </r>
  <r>
    <n v="19675"/>
    <x v="0"/>
    <x v="1"/>
    <n v="20000"/>
    <x v="5"/>
    <x v="2"/>
    <s v="Skilled Manual"/>
    <s v="Yes"/>
    <n v="2"/>
    <x v="2"/>
    <x v="1"/>
    <n v="60"/>
    <x v="1"/>
    <x v="0"/>
  </r>
  <r>
    <n v="12728"/>
    <x v="1"/>
    <x v="1"/>
    <n v="30000"/>
    <x v="3"/>
    <x v="1"/>
    <s v="Clerical"/>
    <s v="No"/>
    <n v="1"/>
    <x v="3"/>
    <x v="0"/>
    <n v="27"/>
    <x v="2"/>
    <x v="0"/>
  </r>
  <r>
    <n v="26154"/>
    <x v="0"/>
    <x v="1"/>
    <n v="60000"/>
    <x v="0"/>
    <x v="1"/>
    <s v="Skilled Manual"/>
    <s v="Yes"/>
    <n v="1"/>
    <x v="2"/>
    <x v="1"/>
    <n v="43"/>
    <x v="0"/>
    <x v="1"/>
  </r>
  <r>
    <n v="29117"/>
    <x v="1"/>
    <x v="1"/>
    <n v="100000"/>
    <x v="0"/>
    <x v="0"/>
    <s v="Management"/>
    <s v="No"/>
    <n v="3"/>
    <x v="0"/>
    <x v="1"/>
    <n v="48"/>
    <x v="0"/>
    <x v="0"/>
  </r>
  <r>
    <n v="17845"/>
    <x v="1"/>
    <x v="0"/>
    <n v="20000"/>
    <x v="3"/>
    <x v="3"/>
    <s v="Manual"/>
    <s v="No"/>
    <n v="2"/>
    <x v="3"/>
    <x v="0"/>
    <n v="32"/>
    <x v="0"/>
    <x v="0"/>
  </r>
  <r>
    <n v="25058"/>
    <x v="0"/>
    <x v="1"/>
    <n v="100000"/>
    <x v="0"/>
    <x v="0"/>
    <s v="Management"/>
    <s v="Yes"/>
    <n v="3"/>
    <x v="1"/>
    <x v="1"/>
    <n v="47"/>
    <x v="0"/>
    <x v="0"/>
  </r>
  <r>
    <n v="23426"/>
    <x v="1"/>
    <x v="1"/>
    <n v="80000"/>
    <x v="2"/>
    <x v="4"/>
    <s v="Management"/>
    <s v="Yes"/>
    <n v="3"/>
    <x v="0"/>
    <x v="1"/>
    <n v="40"/>
    <x v="0"/>
    <x v="0"/>
  </r>
  <r>
    <n v="14798"/>
    <x v="1"/>
    <x v="0"/>
    <n v="10000"/>
    <x v="5"/>
    <x v="3"/>
    <s v="Manual"/>
    <s v="Yes"/>
    <n v="2"/>
    <x v="0"/>
    <x v="0"/>
    <n v="41"/>
    <x v="0"/>
    <x v="1"/>
  </r>
  <r>
    <n v="12664"/>
    <x v="0"/>
    <x v="0"/>
    <n v="130000"/>
    <x v="2"/>
    <x v="1"/>
    <s v="Professional"/>
    <s v="Yes"/>
    <n v="4"/>
    <x v="0"/>
    <x v="0"/>
    <n v="59"/>
    <x v="1"/>
    <x v="0"/>
  </r>
  <r>
    <n v="23979"/>
    <x v="1"/>
    <x v="1"/>
    <n v="10000"/>
    <x v="4"/>
    <x v="1"/>
    <s v="Manual"/>
    <s v="No"/>
    <n v="0"/>
    <x v="0"/>
    <x v="0"/>
    <n v="50"/>
    <x v="0"/>
    <x v="0"/>
  </r>
  <r>
    <n v="25605"/>
    <x v="1"/>
    <x v="0"/>
    <n v="20000"/>
    <x v="4"/>
    <x v="1"/>
    <s v="Manual"/>
    <s v="No"/>
    <n v="1"/>
    <x v="0"/>
    <x v="0"/>
    <n v="54"/>
    <x v="0"/>
    <x v="1"/>
  </r>
  <r>
    <n v="20797"/>
    <x v="0"/>
    <x v="0"/>
    <n v="10000"/>
    <x v="0"/>
    <x v="0"/>
    <s v="Manual"/>
    <s v="Yes"/>
    <n v="0"/>
    <x v="0"/>
    <x v="0"/>
    <n v="48"/>
    <x v="0"/>
    <x v="0"/>
  </r>
  <r>
    <n v="21980"/>
    <x v="1"/>
    <x v="0"/>
    <n v="60000"/>
    <x v="0"/>
    <x v="0"/>
    <s v="Professional"/>
    <s v="Yes"/>
    <n v="1"/>
    <x v="2"/>
    <x v="1"/>
    <n v="44"/>
    <x v="0"/>
    <x v="1"/>
  </r>
  <r>
    <n v="25460"/>
    <x v="0"/>
    <x v="0"/>
    <n v="20000"/>
    <x v="4"/>
    <x v="2"/>
    <s v="Manual"/>
    <s v="Yes"/>
    <n v="0"/>
    <x v="0"/>
    <x v="0"/>
    <n v="40"/>
    <x v="0"/>
    <x v="1"/>
  </r>
  <r>
    <n v="29181"/>
    <x v="1"/>
    <x v="0"/>
    <n v="60000"/>
    <x v="4"/>
    <x v="0"/>
    <s v="Professional"/>
    <s v="No"/>
    <n v="1"/>
    <x v="0"/>
    <x v="1"/>
    <n v="38"/>
    <x v="0"/>
    <x v="1"/>
  </r>
  <r>
    <n v="24279"/>
    <x v="1"/>
    <x v="1"/>
    <n v="40000"/>
    <x v="4"/>
    <x v="1"/>
    <s v="Skilled Manual"/>
    <s v="No"/>
    <n v="2"/>
    <x v="3"/>
    <x v="1"/>
    <n v="52"/>
    <x v="0"/>
    <x v="0"/>
  </r>
  <r>
    <n v="22402"/>
    <x v="0"/>
    <x v="1"/>
    <n v="10000"/>
    <x v="3"/>
    <x v="1"/>
    <s v="Manual"/>
    <s v="Yes"/>
    <n v="1"/>
    <x v="1"/>
    <x v="1"/>
    <n v="25"/>
    <x v="2"/>
    <x v="1"/>
  </r>
  <r>
    <n v="15465"/>
    <x v="0"/>
    <x v="0"/>
    <n v="10000"/>
    <x v="3"/>
    <x v="1"/>
    <s v="Manual"/>
    <s v="No"/>
    <n v="1"/>
    <x v="0"/>
    <x v="1"/>
    <n v="25"/>
    <x v="2"/>
    <x v="0"/>
  </r>
  <r>
    <n v="26757"/>
    <x v="1"/>
    <x v="1"/>
    <n v="90000"/>
    <x v="0"/>
    <x v="0"/>
    <s v="Professional"/>
    <s v="Yes"/>
    <n v="1"/>
    <x v="1"/>
    <x v="1"/>
    <n v="47"/>
    <x v="0"/>
    <x v="1"/>
  </r>
  <r>
    <n v="14233"/>
    <x v="1"/>
    <x v="1"/>
    <n v="100000"/>
    <x v="3"/>
    <x v="2"/>
    <s v="Management"/>
    <s v="Yes"/>
    <n v="3"/>
    <x v="4"/>
    <x v="1"/>
    <n v="35"/>
    <x v="0"/>
    <x v="0"/>
  </r>
  <r>
    <n v="14058"/>
    <x v="1"/>
    <x v="1"/>
    <n v="70000"/>
    <x v="3"/>
    <x v="0"/>
    <s v="Professional"/>
    <s v="No"/>
    <n v="1"/>
    <x v="2"/>
    <x v="1"/>
    <n v="41"/>
    <x v="0"/>
    <x v="1"/>
  </r>
  <r>
    <n v="12273"/>
    <x v="0"/>
    <x v="1"/>
    <n v="30000"/>
    <x v="0"/>
    <x v="0"/>
    <s v="Clerical"/>
    <s v="Yes"/>
    <n v="0"/>
    <x v="0"/>
    <x v="0"/>
    <n v="47"/>
    <x v="0"/>
    <x v="0"/>
  </r>
  <r>
    <n v="17203"/>
    <x v="0"/>
    <x v="0"/>
    <n v="130000"/>
    <x v="5"/>
    <x v="1"/>
    <s v="Professional"/>
    <s v="Yes"/>
    <n v="4"/>
    <x v="2"/>
    <x v="0"/>
    <n v="61"/>
    <x v="1"/>
    <x v="1"/>
  </r>
  <r>
    <n v="18144"/>
    <x v="0"/>
    <x v="0"/>
    <n v="80000"/>
    <x v="2"/>
    <x v="0"/>
    <s v="Management"/>
    <s v="Yes"/>
    <n v="2"/>
    <x v="1"/>
    <x v="0"/>
    <n v="61"/>
    <x v="1"/>
    <x v="0"/>
  </r>
  <r>
    <n v="23963"/>
    <x v="0"/>
    <x v="1"/>
    <n v="10000"/>
    <x v="3"/>
    <x v="3"/>
    <s v="Manual"/>
    <s v="No"/>
    <n v="2"/>
    <x v="0"/>
    <x v="0"/>
    <n v="33"/>
    <x v="0"/>
    <x v="0"/>
  </r>
  <r>
    <n v="17907"/>
    <x v="0"/>
    <x v="0"/>
    <n v="10000"/>
    <x v="3"/>
    <x v="1"/>
    <s v="Manual"/>
    <s v="Yes"/>
    <n v="1"/>
    <x v="1"/>
    <x v="1"/>
    <n v="27"/>
    <x v="2"/>
    <x v="0"/>
  </r>
  <r>
    <n v="19442"/>
    <x v="1"/>
    <x v="1"/>
    <n v="50000"/>
    <x v="3"/>
    <x v="4"/>
    <s v="Skilled Manual"/>
    <s v="Yes"/>
    <n v="0"/>
    <x v="0"/>
    <x v="0"/>
    <n v="37"/>
    <x v="0"/>
    <x v="1"/>
  </r>
  <r>
    <n v="17504"/>
    <x v="1"/>
    <x v="0"/>
    <n v="80000"/>
    <x v="4"/>
    <x v="1"/>
    <s v="Skilled Manual"/>
    <s v="Yes"/>
    <n v="2"/>
    <x v="2"/>
    <x v="1"/>
    <n v="52"/>
    <x v="0"/>
    <x v="1"/>
  </r>
  <r>
    <n v="12253"/>
    <x v="1"/>
    <x v="0"/>
    <n v="20000"/>
    <x v="3"/>
    <x v="1"/>
    <s v="Manual"/>
    <s v="Yes"/>
    <n v="0"/>
    <x v="0"/>
    <x v="1"/>
    <n v="29"/>
    <x v="2"/>
    <x v="1"/>
  </r>
  <r>
    <n v="27304"/>
    <x v="1"/>
    <x v="0"/>
    <n v="110000"/>
    <x v="4"/>
    <x v="1"/>
    <s v="Professional"/>
    <s v="No"/>
    <n v="3"/>
    <x v="2"/>
    <x v="0"/>
    <n v="48"/>
    <x v="0"/>
    <x v="0"/>
  </r>
  <r>
    <n v="14191"/>
    <x v="0"/>
    <x v="1"/>
    <n v="160000"/>
    <x v="5"/>
    <x v="1"/>
    <s v="Professional"/>
    <s v="No"/>
    <n v="2"/>
    <x v="4"/>
    <x v="0"/>
    <n v="55"/>
    <x v="1"/>
    <x v="1"/>
  </r>
  <r>
    <n v="12212"/>
    <x v="0"/>
    <x v="0"/>
    <n v="10000"/>
    <x v="3"/>
    <x v="4"/>
    <s v="Manual"/>
    <s v="Yes"/>
    <n v="0"/>
    <x v="0"/>
    <x v="0"/>
    <n v="37"/>
    <x v="0"/>
    <x v="1"/>
  </r>
  <r>
    <n v="25529"/>
    <x v="1"/>
    <x v="1"/>
    <n v="10000"/>
    <x v="0"/>
    <x v="4"/>
    <s v="Manual"/>
    <s v="Yes"/>
    <n v="0"/>
    <x v="0"/>
    <x v="0"/>
    <n v="44"/>
    <x v="0"/>
    <x v="0"/>
  </r>
  <r>
    <n v="22170"/>
    <x v="0"/>
    <x v="0"/>
    <n v="30000"/>
    <x v="1"/>
    <x v="1"/>
    <s v="Clerical"/>
    <s v="No"/>
    <n v="2"/>
    <x v="3"/>
    <x v="1"/>
    <n v="55"/>
    <x v="1"/>
    <x v="1"/>
  </r>
  <r>
    <n v="19445"/>
    <x v="0"/>
    <x v="0"/>
    <n v="10000"/>
    <x v="4"/>
    <x v="2"/>
    <s v="Manual"/>
    <s v="No"/>
    <n v="1"/>
    <x v="0"/>
    <x v="0"/>
    <n v="38"/>
    <x v="0"/>
    <x v="0"/>
  </r>
  <r>
    <n v="15265"/>
    <x v="1"/>
    <x v="1"/>
    <n v="40000"/>
    <x v="4"/>
    <x v="0"/>
    <s v="Management"/>
    <s v="Yes"/>
    <n v="2"/>
    <x v="2"/>
    <x v="1"/>
    <n v="66"/>
    <x v="1"/>
    <x v="1"/>
  </r>
  <r>
    <n v="28918"/>
    <x v="0"/>
    <x v="0"/>
    <n v="130000"/>
    <x v="5"/>
    <x v="2"/>
    <s v="Management"/>
    <s v="No"/>
    <n v="4"/>
    <x v="4"/>
    <x v="0"/>
    <n v="58"/>
    <x v="1"/>
    <x v="0"/>
  </r>
  <r>
    <n v="15799"/>
    <x v="0"/>
    <x v="0"/>
    <n v="90000"/>
    <x v="0"/>
    <x v="0"/>
    <s v="Professional"/>
    <s v="Yes"/>
    <n v="1"/>
    <x v="1"/>
    <x v="1"/>
    <n v="47"/>
    <x v="0"/>
    <x v="1"/>
  </r>
  <r>
    <n v="11047"/>
    <x v="0"/>
    <x v="0"/>
    <n v="30000"/>
    <x v="1"/>
    <x v="2"/>
    <s v="Skilled Manual"/>
    <s v="No"/>
    <n v="2"/>
    <x v="3"/>
    <x v="1"/>
    <n v="56"/>
    <x v="1"/>
    <x v="1"/>
  </r>
  <r>
    <n v="18151"/>
    <x v="1"/>
    <x v="1"/>
    <n v="80000"/>
    <x v="2"/>
    <x v="1"/>
    <s v="Professional"/>
    <s v="No"/>
    <n v="2"/>
    <x v="4"/>
    <x v="0"/>
    <n v="59"/>
    <x v="1"/>
    <x v="0"/>
  </r>
  <r>
    <n v="20606"/>
    <x v="0"/>
    <x v="0"/>
    <n v="70000"/>
    <x v="3"/>
    <x v="0"/>
    <s v="Professional"/>
    <s v="Yes"/>
    <n v="4"/>
    <x v="4"/>
    <x v="1"/>
    <n v="32"/>
    <x v="0"/>
    <x v="1"/>
  </r>
  <r>
    <n v="19482"/>
    <x v="0"/>
    <x v="1"/>
    <n v="30000"/>
    <x v="0"/>
    <x v="1"/>
    <s v="Clerical"/>
    <s v="Yes"/>
    <n v="1"/>
    <x v="0"/>
    <x v="0"/>
    <n v="44"/>
    <x v="0"/>
    <x v="1"/>
  </r>
  <r>
    <n v="16489"/>
    <x v="0"/>
    <x v="1"/>
    <n v="30000"/>
    <x v="1"/>
    <x v="2"/>
    <s v="Skilled Manual"/>
    <s v="Yes"/>
    <n v="2"/>
    <x v="2"/>
    <x v="1"/>
    <n v="55"/>
    <x v="1"/>
    <x v="0"/>
  </r>
  <r>
    <n v="26944"/>
    <x v="1"/>
    <x v="1"/>
    <n v="90000"/>
    <x v="4"/>
    <x v="2"/>
    <s v="Manual"/>
    <s v="Yes"/>
    <n v="0"/>
    <x v="0"/>
    <x v="0"/>
    <n v="36"/>
    <x v="0"/>
    <x v="1"/>
  </r>
  <r>
    <n v="15682"/>
    <x v="1"/>
    <x v="0"/>
    <n v="80000"/>
    <x v="2"/>
    <x v="0"/>
    <s v="Management"/>
    <s v="Yes"/>
    <n v="2"/>
    <x v="4"/>
    <x v="0"/>
    <n v="62"/>
    <x v="1"/>
    <x v="0"/>
  </r>
  <r>
    <n v="26032"/>
    <x v="0"/>
    <x v="0"/>
    <n v="70000"/>
    <x v="2"/>
    <x v="0"/>
    <s v="Professional"/>
    <s v="Yes"/>
    <n v="4"/>
    <x v="4"/>
    <x v="1"/>
    <n v="41"/>
    <x v="0"/>
    <x v="0"/>
  </r>
  <r>
    <n v="17843"/>
    <x v="1"/>
    <x v="0"/>
    <n v="10000"/>
    <x v="3"/>
    <x v="3"/>
    <s v="Manual"/>
    <s v="No"/>
    <n v="2"/>
    <x v="0"/>
    <x v="0"/>
    <n v="32"/>
    <x v="0"/>
    <x v="0"/>
  </r>
  <r>
    <n v="25559"/>
    <x v="1"/>
    <x v="1"/>
    <n v="20000"/>
    <x v="3"/>
    <x v="0"/>
    <s v="Clerical"/>
    <s v="Yes"/>
    <n v="0"/>
    <x v="0"/>
    <x v="1"/>
    <n v="25"/>
    <x v="2"/>
    <x v="1"/>
  </r>
  <r>
    <n v="16209"/>
    <x v="1"/>
    <x v="0"/>
    <n v="50000"/>
    <x v="3"/>
    <x v="4"/>
    <s v="Skilled Manual"/>
    <s v="Yes"/>
    <n v="0"/>
    <x v="3"/>
    <x v="0"/>
    <n v="36"/>
    <x v="0"/>
    <x v="0"/>
  </r>
  <r>
    <n v="11147"/>
    <x v="0"/>
    <x v="1"/>
    <n v="60000"/>
    <x v="4"/>
    <x v="4"/>
    <s v="Management"/>
    <s v="Yes"/>
    <n v="1"/>
    <x v="0"/>
    <x v="1"/>
    <n v="67"/>
    <x v="1"/>
    <x v="1"/>
  </r>
  <r>
    <n v="15214"/>
    <x v="1"/>
    <x v="0"/>
    <n v="100000"/>
    <x v="3"/>
    <x v="4"/>
    <s v="Management"/>
    <s v="No"/>
    <n v="1"/>
    <x v="3"/>
    <x v="1"/>
    <n v="39"/>
    <x v="0"/>
    <x v="1"/>
  </r>
  <r>
    <n v="11453"/>
    <x v="1"/>
    <x v="1"/>
    <n v="80000"/>
    <x v="3"/>
    <x v="0"/>
    <s v="Professional"/>
    <s v="No"/>
    <n v="3"/>
    <x v="4"/>
    <x v="1"/>
    <n v="33"/>
    <x v="0"/>
    <x v="1"/>
  </r>
  <r>
    <n v="24584"/>
    <x v="1"/>
    <x v="1"/>
    <n v="60000"/>
    <x v="3"/>
    <x v="0"/>
    <s v="Professional"/>
    <s v="No"/>
    <n v="3"/>
    <x v="1"/>
    <x v="1"/>
    <n v="31"/>
    <x v="0"/>
    <x v="0"/>
  </r>
  <r>
    <n v="12585"/>
    <x v="0"/>
    <x v="1"/>
    <n v="10000"/>
    <x v="0"/>
    <x v="2"/>
    <s v="Manual"/>
    <s v="Yes"/>
    <n v="0"/>
    <x v="1"/>
    <x v="1"/>
    <n v="27"/>
    <x v="2"/>
    <x v="1"/>
  </r>
  <r>
    <n v="18626"/>
    <x v="1"/>
    <x v="1"/>
    <n v="40000"/>
    <x v="4"/>
    <x v="1"/>
    <s v="Clerical"/>
    <s v="Yes"/>
    <n v="0"/>
    <x v="3"/>
    <x v="0"/>
    <n v="33"/>
    <x v="0"/>
    <x v="1"/>
  </r>
  <r>
    <n v="29298"/>
    <x v="1"/>
    <x v="0"/>
    <n v="60000"/>
    <x v="0"/>
    <x v="1"/>
    <s v="Skilled Manual"/>
    <s v="Yes"/>
    <n v="1"/>
    <x v="2"/>
    <x v="1"/>
    <n v="46"/>
    <x v="0"/>
    <x v="1"/>
  </r>
  <r>
    <n v="24842"/>
    <x v="1"/>
    <x v="0"/>
    <n v="90000"/>
    <x v="1"/>
    <x v="2"/>
    <s v="Professional"/>
    <s v="No"/>
    <n v="1"/>
    <x v="1"/>
    <x v="0"/>
    <n v="51"/>
    <x v="0"/>
    <x v="0"/>
  </r>
  <r>
    <n v="15657"/>
    <x v="0"/>
    <x v="1"/>
    <n v="30000"/>
    <x v="1"/>
    <x v="4"/>
    <s v="Clerical"/>
    <s v="Yes"/>
    <n v="0"/>
    <x v="0"/>
    <x v="0"/>
    <n v="46"/>
    <x v="0"/>
    <x v="1"/>
  </r>
  <r>
    <n v="11415"/>
    <x v="1"/>
    <x v="1"/>
    <n v="90000"/>
    <x v="2"/>
    <x v="1"/>
    <s v="Professional"/>
    <s v="No"/>
    <n v="2"/>
    <x v="4"/>
    <x v="0"/>
    <n v="62"/>
    <x v="1"/>
    <x v="0"/>
  </r>
  <r>
    <n v="28729"/>
    <x v="1"/>
    <x v="0"/>
    <n v="20000"/>
    <x v="3"/>
    <x v="3"/>
    <s v="Manual"/>
    <s v="Yes"/>
    <n v="2"/>
    <x v="3"/>
    <x v="0"/>
    <n v="26"/>
    <x v="2"/>
    <x v="1"/>
  </r>
  <r>
    <n v="22633"/>
    <x v="1"/>
    <x v="0"/>
    <n v="40000"/>
    <x v="3"/>
    <x v="4"/>
    <s v="Clerical"/>
    <s v="Yes"/>
    <n v="0"/>
    <x v="0"/>
    <x v="0"/>
    <n v="37"/>
    <x v="0"/>
    <x v="1"/>
  </r>
  <r>
    <n v="25649"/>
    <x v="1"/>
    <x v="0"/>
    <n v="30000"/>
    <x v="1"/>
    <x v="1"/>
    <s v="Clerical"/>
    <s v="Yes"/>
    <n v="0"/>
    <x v="0"/>
    <x v="0"/>
    <n v="42"/>
    <x v="0"/>
    <x v="1"/>
  </r>
  <r>
    <n v="14669"/>
    <x v="0"/>
    <x v="0"/>
    <n v="80000"/>
    <x v="5"/>
    <x v="4"/>
    <s v="Management"/>
    <s v="Yes"/>
    <n v="1"/>
    <x v="0"/>
    <x v="1"/>
    <n v="36"/>
    <x v="0"/>
    <x v="0"/>
  </r>
  <r>
    <n v="19299"/>
    <x v="0"/>
    <x v="0"/>
    <n v="50000"/>
    <x v="3"/>
    <x v="4"/>
    <s v="Skilled Manual"/>
    <s v="Yes"/>
    <n v="0"/>
    <x v="0"/>
    <x v="0"/>
    <n v="36"/>
    <x v="0"/>
    <x v="1"/>
  </r>
  <r>
    <n v="20946"/>
    <x v="1"/>
    <x v="0"/>
    <n v="30000"/>
    <x v="3"/>
    <x v="1"/>
    <s v="Clerical"/>
    <s v="No"/>
    <n v="1"/>
    <x v="1"/>
    <x v="0"/>
    <n v="30"/>
    <x v="2"/>
    <x v="0"/>
  </r>
  <r>
    <n v="11451"/>
    <x v="1"/>
    <x v="1"/>
    <n v="70000"/>
    <x v="3"/>
    <x v="0"/>
    <s v="Professional"/>
    <s v="No"/>
    <n v="4"/>
    <x v="4"/>
    <x v="1"/>
    <n v="31"/>
    <x v="0"/>
    <x v="1"/>
  </r>
  <r>
    <n v="25553"/>
    <x v="0"/>
    <x v="1"/>
    <n v="30000"/>
    <x v="0"/>
    <x v="0"/>
    <s v="Clerical"/>
    <s v="Yes"/>
    <n v="0"/>
    <x v="0"/>
    <x v="0"/>
    <n v="65"/>
    <x v="1"/>
    <x v="1"/>
  </r>
  <r>
    <n v="27951"/>
    <x v="1"/>
    <x v="1"/>
    <n v="80000"/>
    <x v="5"/>
    <x v="1"/>
    <s v="Professional"/>
    <s v="No"/>
    <n v="2"/>
    <x v="1"/>
    <x v="0"/>
    <n v="54"/>
    <x v="0"/>
    <x v="1"/>
  </r>
  <r>
    <n v="25026"/>
    <x v="0"/>
    <x v="1"/>
    <n v="20000"/>
    <x v="4"/>
    <x v="3"/>
    <s v="Clerical"/>
    <s v="Yes"/>
    <n v="3"/>
    <x v="2"/>
    <x v="1"/>
    <n v="54"/>
    <x v="0"/>
    <x v="0"/>
  </r>
  <r>
    <n v="13673"/>
    <x v="1"/>
    <x v="0"/>
    <n v="20000"/>
    <x v="3"/>
    <x v="3"/>
    <s v="Manual"/>
    <s v="No"/>
    <n v="2"/>
    <x v="0"/>
    <x v="0"/>
    <n v="25"/>
    <x v="2"/>
    <x v="0"/>
  </r>
  <r>
    <n v="16043"/>
    <x v="1"/>
    <x v="1"/>
    <n v="10000"/>
    <x v="0"/>
    <x v="0"/>
    <s v="Manual"/>
    <s v="Yes"/>
    <n v="0"/>
    <x v="0"/>
    <x v="0"/>
    <n v="48"/>
    <x v="0"/>
    <x v="0"/>
  </r>
  <r>
    <n v="22399"/>
    <x v="1"/>
    <x v="1"/>
    <n v="10000"/>
    <x v="3"/>
    <x v="1"/>
    <s v="Manual"/>
    <s v="Yes"/>
    <n v="1"/>
    <x v="3"/>
    <x v="1"/>
    <n v="26"/>
    <x v="2"/>
    <x v="1"/>
  </r>
  <r>
    <n v="27696"/>
    <x v="0"/>
    <x v="1"/>
    <n v="60000"/>
    <x v="0"/>
    <x v="0"/>
    <s v="Professional"/>
    <s v="Yes"/>
    <n v="1"/>
    <x v="2"/>
    <x v="1"/>
    <n v="43"/>
    <x v="0"/>
    <x v="1"/>
  </r>
  <r>
    <n v="25313"/>
    <x v="1"/>
    <x v="1"/>
    <n v="10000"/>
    <x v="3"/>
    <x v="3"/>
    <s v="Manual"/>
    <s v="No"/>
    <n v="2"/>
    <x v="3"/>
    <x v="0"/>
    <n v="35"/>
    <x v="0"/>
    <x v="0"/>
  </r>
  <r>
    <n v="13813"/>
    <x v="0"/>
    <x v="0"/>
    <n v="30000"/>
    <x v="1"/>
    <x v="1"/>
    <s v="Clerical"/>
    <s v="No"/>
    <n v="0"/>
    <x v="0"/>
    <x v="0"/>
    <n v="42"/>
    <x v="0"/>
    <x v="0"/>
  </r>
  <r>
    <n v="18711"/>
    <x v="1"/>
    <x v="0"/>
    <n v="70000"/>
    <x v="2"/>
    <x v="0"/>
    <s v="Professional"/>
    <s v="Yes"/>
    <n v="4"/>
    <x v="4"/>
    <x v="1"/>
    <n v="39"/>
    <x v="0"/>
    <x v="0"/>
  </r>
  <r>
    <n v="19650"/>
    <x v="0"/>
    <x v="0"/>
    <n v="30000"/>
    <x v="4"/>
    <x v="1"/>
    <s v="Clerical"/>
    <s v="No"/>
    <n v="2"/>
    <x v="0"/>
    <x v="1"/>
    <n v="67"/>
    <x v="1"/>
    <x v="0"/>
  </r>
  <r>
    <n v="14135"/>
    <x v="0"/>
    <x v="1"/>
    <n v="20000"/>
    <x v="0"/>
    <x v="1"/>
    <s v="Manual"/>
    <s v="Yes"/>
    <n v="0"/>
    <x v="3"/>
    <x v="0"/>
    <n v="35"/>
    <x v="0"/>
    <x v="0"/>
  </r>
  <r>
    <n v="12833"/>
    <x v="1"/>
    <x v="0"/>
    <n v="20000"/>
    <x v="1"/>
    <x v="2"/>
    <s v="Manual"/>
    <s v="Yes"/>
    <n v="1"/>
    <x v="0"/>
    <x v="0"/>
    <n v="42"/>
    <x v="0"/>
    <x v="1"/>
  </r>
  <r>
    <n v="26849"/>
    <x v="0"/>
    <x v="1"/>
    <n v="10000"/>
    <x v="1"/>
    <x v="3"/>
    <s v="Manual"/>
    <s v="Yes"/>
    <n v="2"/>
    <x v="0"/>
    <x v="0"/>
    <n v="43"/>
    <x v="0"/>
    <x v="0"/>
  </r>
  <r>
    <n v="20962"/>
    <x v="0"/>
    <x v="0"/>
    <n v="20000"/>
    <x v="0"/>
    <x v="4"/>
    <s v="Clerical"/>
    <s v="Yes"/>
    <n v="0"/>
    <x v="0"/>
    <x v="0"/>
    <n v="45"/>
    <x v="0"/>
    <x v="0"/>
  </r>
  <r>
    <n v="28915"/>
    <x v="1"/>
    <x v="1"/>
    <n v="80000"/>
    <x v="2"/>
    <x v="2"/>
    <s v="Management"/>
    <s v="Yes"/>
    <n v="3"/>
    <x v="4"/>
    <x v="0"/>
    <n v="57"/>
    <x v="1"/>
    <x v="0"/>
  </r>
  <r>
    <n v="22830"/>
    <x v="0"/>
    <x v="1"/>
    <n v="120000"/>
    <x v="5"/>
    <x v="1"/>
    <s v="Management"/>
    <s v="Yes"/>
    <n v="3"/>
    <x v="4"/>
    <x v="0"/>
    <n v="56"/>
    <x v="1"/>
    <x v="0"/>
  </r>
  <r>
    <n v="14777"/>
    <x v="0"/>
    <x v="0"/>
    <n v="40000"/>
    <x v="3"/>
    <x v="0"/>
    <s v="Clerical"/>
    <s v="Yes"/>
    <n v="0"/>
    <x v="0"/>
    <x v="0"/>
    <n v="38"/>
    <x v="0"/>
    <x v="1"/>
  </r>
  <r>
    <n v="12591"/>
    <x v="0"/>
    <x v="0"/>
    <n v="30000"/>
    <x v="5"/>
    <x v="4"/>
    <s v="Clerical"/>
    <s v="Yes"/>
    <n v="0"/>
    <x v="0"/>
    <x v="0"/>
    <n v="45"/>
    <x v="0"/>
    <x v="0"/>
  </r>
  <r>
    <n v="24174"/>
    <x v="0"/>
    <x v="1"/>
    <n v="20000"/>
    <x v="3"/>
    <x v="0"/>
    <s v="Clerical"/>
    <s v="Yes"/>
    <n v="0"/>
    <x v="0"/>
    <x v="1"/>
    <n v="27"/>
    <x v="2"/>
    <x v="1"/>
  </r>
  <r>
    <n v="24611"/>
    <x v="1"/>
    <x v="1"/>
    <n v="90000"/>
    <x v="3"/>
    <x v="0"/>
    <s v="Professional"/>
    <s v="No"/>
    <n v="4"/>
    <x v="4"/>
    <x v="1"/>
    <n v="35"/>
    <x v="0"/>
    <x v="1"/>
  </r>
  <r>
    <n v="11340"/>
    <x v="0"/>
    <x v="0"/>
    <n v="10000"/>
    <x v="0"/>
    <x v="4"/>
    <s v="Clerical"/>
    <s v="Yes"/>
    <n v="0"/>
    <x v="0"/>
    <x v="0"/>
    <n v="70"/>
    <x v="1"/>
    <x v="1"/>
  </r>
  <r>
    <n v="25693"/>
    <x v="1"/>
    <x v="0"/>
    <n v="30000"/>
    <x v="2"/>
    <x v="4"/>
    <s v="Clerical"/>
    <s v="Yes"/>
    <n v="0"/>
    <x v="0"/>
    <x v="0"/>
    <n v="44"/>
    <x v="0"/>
    <x v="1"/>
  </r>
  <r>
    <n v="25555"/>
    <x v="0"/>
    <x v="0"/>
    <n v="10000"/>
    <x v="3"/>
    <x v="1"/>
    <s v="Manual"/>
    <s v="No"/>
    <n v="1"/>
    <x v="0"/>
    <x v="1"/>
    <n v="26"/>
    <x v="2"/>
    <x v="1"/>
  </r>
  <r>
    <n v="22006"/>
    <x v="0"/>
    <x v="1"/>
    <n v="70000"/>
    <x v="2"/>
    <x v="1"/>
    <s v="Skilled Manual"/>
    <s v="Yes"/>
    <n v="3"/>
    <x v="2"/>
    <x v="1"/>
    <n v="46"/>
    <x v="0"/>
    <x v="0"/>
  </r>
  <r>
    <n v="20060"/>
    <x v="1"/>
    <x v="0"/>
    <n v="30000"/>
    <x v="3"/>
    <x v="2"/>
    <s v="Manual"/>
    <s v="No"/>
    <n v="1"/>
    <x v="1"/>
    <x v="0"/>
    <n v="34"/>
    <x v="0"/>
    <x v="1"/>
  </r>
  <r>
    <n v="17702"/>
    <x v="0"/>
    <x v="1"/>
    <n v="10000"/>
    <x v="0"/>
    <x v="4"/>
    <s v="Manual"/>
    <s v="Yes"/>
    <n v="0"/>
    <x v="0"/>
    <x v="0"/>
    <n v="37"/>
    <x v="0"/>
    <x v="0"/>
  </r>
  <r>
    <n v="12503"/>
    <x v="1"/>
    <x v="0"/>
    <n v="30000"/>
    <x v="1"/>
    <x v="1"/>
    <s v="Clerical"/>
    <s v="Yes"/>
    <n v="2"/>
    <x v="0"/>
    <x v="0"/>
    <n v="27"/>
    <x v="2"/>
    <x v="0"/>
  </r>
  <r>
    <n v="23908"/>
    <x v="1"/>
    <x v="1"/>
    <n v="30000"/>
    <x v="0"/>
    <x v="0"/>
    <s v="Clerical"/>
    <s v="No"/>
    <n v="1"/>
    <x v="0"/>
    <x v="0"/>
    <n v="39"/>
    <x v="0"/>
    <x v="1"/>
  </r>
  <r>
    <n v="22527"/>
    <x v="1"/>
    <x v="0"/>
    <n v="20000"/>
    <x v="3"/>
    <x v="2"/>
    <s v="Manual"/>
    <s v="No"/>
    <n v="1"/>
    <x v="1"/>
    <x v="0"/>
    <n v="29"/>
    <x v="2"/>
    <x v="0"/>
  </r>
  <r>
    <n v="19057"/>
    <x v="0"/>
    <x v="0"/>
    <n v="120000"/>
    <x v="1"/>
    <x v="0"/>
    <s v="Management"/>
    <s v="No"/>
    <n v="2"/>
    <x v="4"/>
    <x v="0"/>
    <n v="52"/>
    <x v="0"/>
    <x v="1"/>
  </r>
  <r>
    <n v="18494"/>
    <x v="0"/>
    <x v="1"/>
    <n v="110000"/>
    <x v="2"/>
    <x v="0"/>
    <s v="Management"/>
    <s v="Yes"/>
    <n v="4"/>
    <x v="1"/>
    <x v="1"/>
    <n v="48"/>
    <x v="0"/>
    <x v="1"/>
  </r>
  <r>
    <n v="11249"/>
    <x v="0"/>
    <x v="0"/>
    <n v="130000"/>
    <x v="1"/>
    <x v="1"/>
    <s v="Professional"/>
    <s v="Yes"/>
    <n v="3"/>
    <x v="0"/>
    <x v="0"/>
    <n v="51"/>
    <x v="0"/>
    <x v="1"/>
  </r>
  <r>
    <n v="21568"/>
    <x v="0"/>
    <x v="0"/>
    <n v="100000"/>
    <x v="3"/>
    <x v="2"/>
    <s v="Management"/>
    <s v="Yes"/>
    <n v="4"/>
    <x v="4"/>
    <x v="1"/>
    <n v="34"/>
    <x v="0"/>
    <x v="1"/>
  </r>
  <r>
    <n v="13981"/>
    <x v="0"/>
    <x v="0"/>
    <n v="10000"/>
    <x v="2"/>
    <x v="2"/>
    <s v="Skilled Manual"/>
    <s v="No"/>
    <n v="3"/>
    <x v="3"/>
    <x v="1"/>
    <n v="62"/>
    <x v="1"/>
    <x v="0"/>
  </r>
  <r>
    <n v="23432"/>
    <x v="1"/>
    <x v="1"/>
    <n v="70000"/>
    <x v="3"/>
    <x v="0"/>
    <s v="Professional"/>
    <s v="Yes"/>
    <n v="1"/>
    <x v="2"/>
    <x v="1"/>
    <n v="37"/>
    <x v="0"/>
    <x v="1"/>
  </r>
  <r>
    <n v="22931"/>
    <x v="0"/>
    <x v="1"/>
    <n v="100000"/>
    <x v="2"/>
    <x v="4"/>
    <s v="Management"/>
    <s v="No"/>
    <n v="1"/>
    <x v="3"/>
    <x v="1"/>
    <n v="78"/>
    <x v="1"/>
    <x v="1"/>
  </r>
  <r>
    <n v="18172"/>
    <x v="0"/>
    <x v="1"/>
    <n v="130000"/>
    <x v="5"/>
    <x v="2"/>
    <s v="Professional"/>
    <s v="Yes"/>
    <n v="3"/>
    <x v="0"/>
    <x v="0"/>
    <n v="55"/>
    <x v="1"/>
    <x v="0"/>
  </r>
  <r>
    <n v="12666"/>
    <x v="1"/>
    <x v="1"/>
    <n v="60000"/>
    <x v="3"/>
    <x v="0"/>
    <s v="Professional"/>
    <s v="No"/>
    <n v="4"/>
    <x v="1"/>
    <x v="1"/>
    <n v="31"/>
    <x v="0"/>
    <x v="0"/>
  </r>
  <r>
    <n v="20598"/>
    <x v="0"/>
    <x v="1"/>
    <n v="100000"/>
    <x v="1"/>
    <x v="3"/>
    <s v="Professional"/>
    <s v="Yes"/>
    <n v="0"/>
    <x v="4"/>
    <x v="0"/>
    <n v="59"/>
    <x v="1"/>
    <x v="1"/>
  </r>
  <r>
    <n v="21375"/>
    <x v="1"/>
    <x v="1"/>
    <n v="20000"/>
    <x v="4"/>
    <x v="3"/>
    <s v="Clerical"/>
    <s v="Yes"/>
    <n v="2"/>
    <x v="2"/>
    <x v="1"/>
    <n v="57"/>
    <x v="1"/>
    <x v="0"/>
  </r>
  <r>
    <n v="20839"/>
    <x v="1"/>
    <x v="0"/>
    <n v="30000"/>
    <x v="1"/>
    <x v="4"/>
    <s v="Clerical"/>
    <s v="Yes"/>
    <n v="0"/>
    <x v="0"/>
    <x v="0"/>
    <n v="47"/>
    <x v="0"/>
    <x v="1"/>
  </r>
  <r>
    <n v="21738"/>
    <x v="0"/>
    <x v="1"/>
    <n v="20000"/>
    <x v="0"/>
    <x v="4"/>
    <s v="Clerical"/>
    <s v="Yes"/>
    <n v="0"/>
    <x v="0"/>
    <x v="0"/>
    <n v="43"/>
    <x v="0"/>
    <x v="0"/>
  </r>
  <r>
    <n v="14164"/>
    <x v="1"/>
    <x v="0"/>
    <n v="50000"/>
    <x v="3"/>
    <x v="4"/>
    <s v="Skilled Manual"/>
    <s v="Yes"/>
    <n v="0"/>
    <x v="0"/>
    <x v="0"/>
    <n v="36"/>
    <x v="0"/>
    <x v="1"/>
  </r>
  <r>
    <n v="14193"/>
    <x v="1"/>
    <x v="0"/>
    <n v="100000"/>
    <x v="1"/>
    <x v="1"/>
    <s v="Management"/>
    <s v="Yes"/>
    <n v="4"/>
    <x v="4"/>
    <x v="0"/>
    <n v="56"/>
    <x v="1"/>
    <x v="0"/>
  </r>
  <r>
    <n v="12705"/>
    <x v="0"/>
    <x v="1"/>
    <n v="150000"/>
    <x v="3"/>
    <x v="0"/>
    <s v="Management"/>
    <s v="Yes"/>
    <n v="4"/>
    <x v="0"/>
    <x v="1"/>
    <n v="37"/>
    <x v="0"/>
    <x v="1"/>
  </r>
  <r>
    <n v="22672"/>
    <x v="1"/>
    <x v="0"/>
    <n v="30000"/>
    <x v="4"/>
    <x v="1"/>
    <s v="Clerical"/>
    <s v="Yes"/>
    <n v="0"/>
    <x v="0"/>
    <x v="0"/>
    <n v="43"/>
    <x v="0"/>
    <x v="0"/>
  </r>
  <r>
    <n v="26219"/>
    <x v="0"/>
    <x v="0"/>
    <n v="40000"/>
    <x v="0"/>
    <x v="0"/>
    <s v="Skilled Manual"/>
    <s v="Yes"/>
    <n v="1"/>
    <x v="3"/>
    <x v="0"/>
    <n v="33"/>
    <x v="0"/>
    <x v="1"/>
  </r>
  <r>
    <n v="28468"/>
    <x v="0"/>
    <x v="0"/>
    <n v="10000"/>
    <x v="4"/>
    <x v="1"/>
    <s v="Manual"/>
    <s v="Yes"/>
    <n v="0"/>
    <x v="3"/>
    <x v="0"/>
    <n v="51"/>
    <x v="0"/>
    <x v="0"/>
  </r>
  <r>
    <n v="23419"/>
    <x v="1"/>
    <x v="0"/>
    <n v="70000"/>
    <x v="2"/>
    <x v="0"/>
    <s v="Professional"/>
    <s v="Yes"/>
    <n v="3"/>
    <x v="4"/>
    <x v="1"/>
    <n v="39"/>
    <x v="0"/>
    <x v="0"/>
  </r>
  <r>
    <n v="17964"/>
    <x v="0"/>
    <x v="1"/>
    <n v="40000"/>
    <x v="3"/>
    <x v="4"/>
    <s v="Clerical"/>
    <s v="Yes"/>
    <n v="0"/>
    <x v="0"/>
    <x v="0"/>
    <n v="37"/>
    <x v="0"/>
    <x v="1"/>
  </r>
  <r>
    <n v="20919"/>
    <x v="1"/>
    <x v="0"/>
    <n v="30000"/>
    <x v="4"/>
    <x v="1"/>
    <s v="Clerical"/>
    <s v="Yes"/>
    <n v="2"/>
    <x v="0"/>
    <x v="0"/>
    <n v="42"/>
    <x v="0"/>
    <x v="0"/>
  </r>
  <r>
    <n v="20927"/>
    <x v="1"/>
    <x v="0"/>
    <n v="20000"/>
    <x v="2"/>
    <x v="2"/>
    <s v="Manual"/>
    <s v="Yes"/>
    <n v="2"/>
    <x v="0"/>
    <x v="0"/>
    <n v="27"/>
    <x v="2"/>
    <x v="0"/>
  </r>
  <r>
    <n v="13133"/>
    <x v="1"/>
    <x v="1"/>
    <n v="100000"/>
    <x v="2"/>
    <x v="0"/>
    <s v="Professional"/>
    <s v="Yes"/>
    <n v="1"/>
    <x v="2"/>
    <x v="1"/>
    <n v="47"/>
    <x v="0"/>
    <x v="1"/>
  </r>
  <r>
    <n v="19626"/>
    <x v="0"/>
    <x v="1"/>
    <n v="70000"/>
    <x v="2"/>
    <x v="1"/>
    <s v="Skilled Manual"/>
    <s v="Yes"/>
    <n v="3"/>
    <x v="2"/>
    <x v="1"/>
    <n v="45"/>
    <x v="0"/>
    <x v="0"/>
  </r>
  <r>
    <n v="21039"/>
    <x v="1"/>
    <x v="0"/>
    <n v="50000"/>
    <x v="3"/>
    <x v="4"/>
    <s v="Skilled Manual"/>
    <s v="No"/>
    <n v="0"/>
    <x v="0"/>
    <x v="0"/>
    <n v="37"/>
    <x v="0"/>
    <x v="1"/>
  </r>
  <r>
    <n v="12231"/>
    <x v="1"/>
    <x v="0"/>
    <n v="10000"/>
    <x v="4"/>
    <x v="1"/>
    <s v="Manual"/>
    <s v="Yes"/>
    <n v="0"/>
    <x v="0"/>
    <x v="0"/>
    <n v="51"/>
    <x v="0"/>
    <x v="1"/>
  </r>
  <r>
    <n v="25665"/>
    <x v="1"/>
    <x v="0"/>
    <n v="20000"/>
    <x v="3"/>
    <x v="2"/>
    <s v="Manual"/>
    <s v="No"/>
    <n v="1"/>
    <x v="3"/>
    <x v="0"/>
    <n v="28"/>
    <x v="2"/>
    <x v="0"/>
  </r>
  <r>
    <n v="24061"/>
    <x v="0"/>
    <x v="1"/>
    <n v="10000"/>
    <x v="5"/>
    <x v="3"/>
    <s v="Manual"/>
    <s v="Yes"/>
    <n v="1"/>
    <x v="0"/>
    <x v="0"/>
    <n v="40"/>
    <x v="0"/>
    <x v="1"/>
  </r>
  <r>
    <n v="26879"/>
    <x v="1"/>
    <x v="0"/>
    <n v="20000"/>
    <x v="3"/>
    <x v="2"/>
    <s v="Manual"/>
    <s v="No"/>
    <n v="1"/>
    <x v="1"/>
    <x v="0"/>
    <n v="30"/>
    <x v="2"/>
    <x v="0"/>
  </r>
  <r>
    <n v="12284"/>
    <x v="0"/>
    <x v="0"/>
    <n v="30000"/>
    <x v="3"/>
    <x v="0"/>
    <s v="Clerical"/>
    <s v="No"/>
    <n v="0"/>
    <x v="0"/>
    <x v="0"/>
    <n v="36"/>
    <x v="0"/>
    <x v="1"/>
  </r>
  <r>
    <n v="26654"/>
    <x v="0"/>
    <x v="0"/>
    <n v="90000"/>
    <x v="0"/>
    <x v="4"/>
    <s v="Management"/>
    <s v="Yes"/>
    <n v="0"/>
    <x v="0"/>
    <x v="1"/>
    <n v="37"/>
    <x v="0"/>
    <x v="1"/>
  </r>
  <r>
    <n v="14545"/>
    <x v="0"/>
    <x v="0"/>
    <n v="10000"/>
    <x v="4"/>
    <x v="1"/>
    <s v="Manual"/>
    <s v="Yes"/>
    <n v="0"/>
    <x v="3"/>
    <x v="0"/>
    <n v="49"/>
    <x v="0"/>
    <x v="0"/>
  </r>
  <r>
    <n v="24201"/>
    <x v="0"/>
    <x v="0"/>
    <n v="10000"/>
    <x v="4"/>
    <x v="2"/>
    <s v="Manual"/>
    <s v="Yes"/>
    <n v="0"/>
    <x v="0"/>
    <x v="0"/>
    <n v="37"/>
    <x v="0"/>
    <x v="1"/>
  </r>
  <r>
    <n v="20625"/>
    <x v="0"/>
    <x v="1"/>
    <n v="100000"/>
    <x v="3"/>
    <x v="2"/>
    <s v="Management"/>
    <s v="Yes"/>
    <n v="3"/>
    <x v="4"/>
    <x v="1"/>
    <n v="35"/>
    <x v="0"/>
    <x v="1"/>
  </r>
  <r>
    <n v="16390"/>
    <x v="1"/>
    <x v="1"/>
    <n v="30000"/>
    <x v="0"/>
    <x v="0"/>
    <s v="Clerical"/>
    <s v="No"/>
    <n v="0"/>
    <x v="0"/>
    <x v="0"/>
    <n v="38"/>
    <x v="0"/>
    <x v="1"/>
  </r>
  <r>
    <n v="14804"/>
    <x v="1"/>
    <x v="0"/>
    <n v="10000"/>
    <x v="1"/>
    <x v="3"/>
    <s v="Manual"/>
    <s v="Yes"/>
    <n v="2"/>
    <x v="0"/>
    <x v="0"/>
    <n v="43"/>
    <x v="0"/>
    <x v="0"/>
  </r>
  <r>
    <n v="12629"/>
    <x v="1"/>
    <x v="1"/>
    <n v="20000"/>
    <x v="0"/>
    <x v="1"/>
    <s v="Manual"/>
    <s v="No"/>
    <n v="0"/>
    <x v="0"/>
    <x v="0"/>
    <n v="37"/>
    <x v="0"/>
    <x v="0"/>
  </r>
  <r>
    <n v="14696"/>
    <x v="1"/>
    <x v="1"/>
    <n v="10000"/>
    <x v="3"/>
    <x v="3"/>
    <s v="Manual"/>
    <s v="No"/>
    <n v="2"/>
    <x v="0"/>
    <x v="0"/>
    <n v="34"/>
    <x v="0"/>
    <x v="0"/>
  </r>
  <r>
    <n v="22005"/>
    <x v="0"/>
    <x v="0"/>
    <n v="70000"/>
    <x v="2"/>
    <x v="1"/>
    <s v="Skilled Manual"/>
    <s v="No"/>
    <n v="3"/>
    <x v="2"/>
    <x v="1"/>
    <n v="46"/>
    <x v="0"/>
    <x v="0"/>
  </r>
  <r>
    <n v="14544"/>
    <x v="1"/>
    <x v="1"/>
    <n v="10000"/>
    <x v="0"/>
    <x v="1"/>
    <s v="Manual"/>
    <s v="Yes"/>
    <n v="0"/>
    <x v="0"/>
    <x v="0"/>
    <n v="49"/>
    <x v="0"/>
    <x v="0"/>
  </r>
  <r>
    <n v="14312"/>
    <x v="0"/>
    <x v="0"/>
    <n v="60000"/>
    <x v="0"/>
    <x v="1"/>
    <s v="Skilled Manual"/>
    <s v="Yes"/>
    <n v="1"/>
    <x v="2"/>
    <x v="1"/>
    <n v="45"/>
    <x v="0"/>
    <x v="0"/>
  </r>
  <r>
    <n v="29120"/>
    <x v="1"/>
    <x v="0"/>
    <n v="100000"/>
    <x v="0"/>
    <x v="0"/>
    <s v="Management"/>
    <s v="Yes"/>
    <n v="4"/>
    <x v="1"/>
    <x v="1"/>
    <n v="48"/>
    <x v="0"/>
    <x v="0"/>
  </r>
  <r>
    <n v="24187"/>
    <x v="1"/>
    <x v="0"/>
    <n v="30000"/>
    <x v="1"/>
    <x v="4"/>
    <s v="Clerical"/>
    <s v="No"/>
    <n v="0"/>
    <x v="0"/>
    <x v="0"/>
    <n v="46"/>
    <x v="0"/>
    <x v="1"/>
  </r>
  <r>
    <n v="15758"/>
    <x v="0"/>
    <x v="1"/>
    <n v="130000"/>
    <x v="3"/>
    <x v="4"/>
    <s v="Management"/>
    <s v="Yes"/>
    <n v="0"/>
    <x v="2"/>
    <x v="1"/>
    <n v="48"/>
    <x v="0"/>
    <x v="0"/>
  </r>
  <r>
    <n v="29094"/>
    <x v="0"/>
    <x v="1"/>
    <n v="30000"/>
    <x v="1"/>
    <x v="2"/>
    <s v="Skilled Manual"/>
    <s v="Yes"/>
    <n v="2"/>
    <x v="2"/>
    <x v="1"/>
    <n v="54"/>
    <x v="0"/>
    <x v="1"/>
  </r>
  <r>
    <n v="28319"/>
    <x v="1"/>
    <x v="0"/>
    <n v="60000"/>
    <x v="0"/>
    <x v="1"/>
    <s v="Skilled Manual"/>
    <s v="No"/>
    <n v="1"/>
    <x v="0"/>
    <x v="1"/>
    <n v="46"/>
    <x v="0"/>
    <x v="1"/>
  </r>
  <r>
    <n v="16406"/>
    <x v="0"/>
    <x v="1"/>
    <n v="40000"/>
    <x v="3"/>
    <x v="0"/>
    <s v="Clerical"/>
    <s v="No"/>
    <n v="0"/>
    <x v="0"/>
    <x v="0"/>
    <n v="38"/>
    <x v="0"/>
    <x v="1"/>
  </r>
  <r>
    <n v="20923"/>
    <x v="0"/>
    <x v="0"/>
    <n v="40000"/>
    <x v="0"/>
    <x v="0"/>
    <s v="Skilled Manual"/>
    <s v="Yes"/>
    <n v="0"/>
    <x v="0"/>
    <x v="0"/>
    <n v="42"/>
    <x v="0"/>
    <x v="1"/>
  </r>
  <r>
    <n v="11378"/>
    <x v="1"/>
    <x v="0"/>
    <n v="10000"/>
    <x v="0"/>
    <x v="2"/>
    <s v="Manual"/>
    <s v="No"/>
    <n v="1"/>
    <x v="1"/>
    <x v="0"/>
    <n v="46"/>
    <x v="0"/>
    <x v="1"/>
  </r>
  <r>
    <n v="20851"/>
    <x v="1"/>
    <x v="1"/>
    <n v="20000"/>
    <x v="3"/>
    <x v="1"/>
    <s v="Manual"/>
    <s v="No"/>
    <n v="1"/>
    <x v="1"/>
    <x v="0"/>
    <n v="36"/>
    <x v="0"/>
    <x v="1"/>
  </r>
  <r>
    <n v="21557"/>
    <x v="1"/>
    <x v="0"/>
    <n v="110000"/>
    <x v="3"/>
    <x v="1"/>
    <s v="Management"/>
    <s v="Yes"/>
    <n v="3"/>
    <x v="4"/>
    <x v="1"/>
    <n v="32"/>
    <x v="0"/>
    <x v="1"/>
  </r>
  <r>
    <n v="26663"/>
    <x v="1"/>
    <x v="0"/>
    <n v="60000"/>
    <x v="4"/>
    <x v="0"/>
    <s v="Professional"/>
    <s v="No"/>
    <n v="1"/>
    <x v="0"/>
    <x v="1"/>
    <n v="39"/>
    <x v="0"/>
    <x v="1"/>
  </r>
  <r>
    <n v="11896"/>
    <x v="0"/>
    <x v="1"/>
    <n v="100000"/>
    <x v="0"/>
    <x v="4"/>
    <s v="Management"/>
    <s v="Yes"/>
    <n v="0"/>
    <x v="1"/>
    <x v="1"/>
    <n v="36"/>
    <x v="0"/>
    <x v="1"/>
  </r>
  <r>
    <n v="14189"/>
    <x v="0"/>
    <x v="0"/>
    <n v="90000"/>
    <x v="5"/>
    <x v="2"/>
    <s v="Professional"/>
    <s v="No"/>
    <n v="2"/>
    <x v="1"/>
    <x v="0"/>
    <n v="54"/>
    <x v="0"/>
    <x v="1"/>
  </r>
  <r>
    <n v="13136"/>
    <x v="0"/>
    <x v="0"/>
    <n v="30000"/>
    <x v="4"/>
    <x v="1"/>
    <s v="Clerical"/>
    <s v="No"/>
    <n v="2"/>
    <x v="2"/>
    <x v="1"/>
    <n v="69"/>
    <x v="1"/>
    <x v="0"/>
  </r>
  <r>
    <n v="25906"/>
    <x v="1"/>
    <x v="0"/>
    <n v="10000"/>
    <x v="2"/>
    <x v="2"/>
    <s v="Skilled Manual"/>
    <s v="No"/>
    <n v="2"/>
    <x v="3"/>
    <x v="1"/>
    <n v="62"/>
    <x v="1"/>
    <x v="0"/>
  </r>
  <r>
    <n v="17926"/>
    <x v="1"/>
    <x v="0"/>
    <n v="40000"/>
    <x v="3"/>
    <x v="0"/>
    <s v="Clerical"/>
    <s v="No"/>
    <n v="0"/>
    <x v="0"/>
    <x v="1"/>
    <n v="28"/>
    <x v="2"/>
    <x v="1"/>
  </r>
  <r>
    <n v="26928"/>
    <x v="1"/>
    <x v="1"/>
    <n v="30000"/>
    <x v="0"/>
    <x v="0"/>
    <s v="Clerical"/>
    <s v="Yes"/>
    <n v="0"/>
    <x v="0"/>
    <x v="0"/>
    <n v="62"/>
    <x v="1"/>
    <x v="1"/>
  </r>
  <r>
    <n v="20897"/>
    <x v="0"/>
    <x v="0"/>
    <n v="30000"/>
    <x v="0"/>
    <x v="0"/>
    <s v="Skilled Manual"/>
    <s v="Yes"/>
    <n v="2"/>
    <x v="0"/>
    <x v="0"/>
    <n v="40"/>
    <x v="0"/>
    <x v="0"/>
  </r>
  <r>
    <n v="28207"/>
    <x v="0"/>
    <x v="1"/>
    <n v="80000"/>
    <x v="5"/>
    <x v="4"/>
    <s v="Management"/>
    <s v="Yes"/>
    <n v="1"/>
    <x v="0"/>
    <x v="1"/>
    <n v="36"/>
    <x v="0"/>
    <x v="1"/>
  </r>
  <r>
    <n v="25923"/>
    <x v="1"/>
    <x v="1"/>
    <n v="10000"/>
    <x v="4"/>
    <x v="3"/>
    <s v="Clerical"/>
    <s v="Yes"/>
    <n v="2"/>
    <x v="2"/>
    <x v="1"/>
    <n v="58"/>
    <x v="1"/>
    <x v="0"/>
  </r>
  <r>
    <n v="11000"/>
    <x v="0"/>
    <x v="1"/>
    <n v="90000"/>
    <x v="4"/>
    <x v="0"/>
    <s v="Professional"/>
    <s v="Yes"/>
    <n v="0"/>
    <x v="3"/>
    <x v="1"/>
    <n v="40"/>
    <x v="0"/>
    <x v="1"/>
  </r>
  <r>
    <n v="20974"/>
    <x v="0"/>
    <x v="1"/>
    <n v="10000"/>
    <x v="4"/>
    <x v="0"/>
    <s v="Clerical"/>
    <s v="Yes"/>
    <n v="1"/>
    <x v="0"/>
    <x v="0"/>
    <n v="66"/>
    <x v="1"/>
    <x v="0"/>
  </r>
  <r>
    <n v="28758"/>
    <x v="0"/>
    <x v="1"/>
    <n v="40000"/>
    <x v="4"/>
    <x v="1"/>
    <s v="Clerical"/>
    <s v="Yes"/>
    <n v="1"/>
    <x v="3"/>
    <x v="0"/>
    <n v="35"/>
    <x v="0"/>
    <x v="1"/>
  </r>
  <r>
    <n v="11381"/>
    <x v="0"/>
    <x v="0"/>
    <n v="20000"/>
    <x v="4"/>
    <x v="1"/>
    <s v="Manual"/>
    <s v="Yes"/>
    <n v="1"/>
    <x v="1"/>
    <x v="0"/>
    <n v="47"/>
    <x v="0"/>
    <x v="1"/>
  </r>
  <r>
    <n v="17522"/>
    <x v="0"/>
    <x v="1"/>
    <n v="120000"/>
    <x v="5"/>
    <x v="0"/>
    <s v="Management"/>
    <s v="Yes"/>
    <n v="1"/>
    <x v="1"/>
    <x v="1"/>
    <n v="47"/>
    <x v="0"/>
    <x v="0"/>
  </r>
  <r>
    <n v="21207"/>
    <x v="0"/>
    <x v="1"/>
    <n v="60000"/>
    <x v="0"/>
    <x v="1"/>
    <s v="Skilled Manual"/>
    <s v="Yes"/>
    <n v="1"/>
    <x v="2"/>
    <x v="1"/>
    <n v="46"/>
    <x v="0"/>
    <x v="0"/>
  </r>
  <r>
    <n v="28102"/>
    <x v="0"/>
    <x v="1"/>
    <n v="20000"/>
    <x v="5"/>
    <x v="2"/>
    <s v="Skilled Manual"/>
    <s v="Yes"/>
    <n v="2"/>
    <x v="2"/>
    <x v="1"/>
    <n v="58"/>
    <x v="1"/>
    <x v="1"/>
  </r>
  <r>
    <n v="23105"/>
    <x v="1"/>
    <x v="1"/>
    <n v="40000"/>
    <x v="1"/>
    <x v="3"/>
    <s v="Clerical"/>
    <s v="No"/>
    <n v="2"/>
    <x v="2"/>
    <x v="1"/>
    <n v="52"/>
    <x v="0"/>
    <x v="1"/>
  </r>
  <r>
    <n v="18740"/>
    <x v="0"/>
    <x v="1"/>
    <n v="80000"/>
    <x v="2"/>
    <x v="0"/>
    <s v="Professional"/>
    <s v="No"/>
    <n v="1"/>
    <x v="0"/>
    <x v="1"/>
    <n v="47"/>
    <x v="0"/>
    <x v="1"/>
  </r>
  <r>
    <n v="21213"/>
    <x v="1"/>
    <x v="1"/>
    <n v="70000"/>
    <x v="3"/>
    <x v="0"/>
    <s v="Professional"/>
    <s v="No"/>
    <n v="1"/>
    <x v="2"/>
    <x v="1"/>
    <n v="41"/>
    <x v="0"/>
    <x v="0"/>
  </r>
  <r>
    <n v="17352"/>
    <x v="0"/>
    <x v="1"/>
    <n v="50000"/>
    <x v="4"/>
    <x v="4"/>
    <s v="Management"/>
    <s v="Yes"/>
    <n v="1"/>
    <x v="2"/>
    <x v="1"/>
    <n v="64"/>
    <x v="1"/>
    <x v="1"/>
  </r>
  <r>
    <n v="14154"/>
    <x v="0"/>
    <x v="1"/>
    <n v="30000"/>
    <x v="3"/>
    <x v="0"/>
    <s v="Clerical"/>
    <s v="Yes"/>
    <n v="0"/>
    <x v="0"/>
    <x v="0"/>
    <n v="35"/>
    <x v="0"/>
    <x v="1"/>
  </r>
  <r>
    <n v="19066"/>
    <x v="0"/>
    <x v="1"/>
    <n v="130000"/>
    <x v="5"/>
    <x v="1"/>
    <s v="Professional"/>
    <s v="No"/>
    <n v="3"/>
    <x v="4"/>
    <x v="0"/>
    <n v="54"/>
    <x v="0"/>
    <x v="0"/>
  </r>
  <r>
    <n v="11386"/>
    <x v="0"/>
    <x v="0"/>
    <n v="30000"/>
    <x v="1"/>
    <x v="0"/>
    <s v="Clerical"/>
    <s v="Yes"/>
    <n v="0"/>
    <x v="0"/>
    <x v="0"/>
    <n v="45"/>
    <x v="0"/>
    <x v="0"/>
  </r>
  <r>
    <n v="20228"/>
    <x v="0"/>
    <x v="1"/>
    <n v="100000"/>
    <x v="3"/>
    <x v="4"/>
    <s v="Management"/>
    <s v="Yes"/>
    <n v="0"/>
    <x v="1"/>
    <x v="1"/>
    <n v="40"/>
    <x v="0"/>
    <x v="1"/>
  </r>
  <r>
    <n v="16675"/>
    <x v="1"/>
    <x v="0"/>
    <n v="160000"/>
    <x v="3"/>
    <x v="4"/>
    <s v="Management"/>
    <s v="No"/>
    <n v="3"/>
    <x v="0"/>
    <x v="1"/>
    <n v="47"/>
    <x v="0"/>
    <x v="1"/>
  </r>
  <r>
    <n v="16410"/>
    <x v="1"/>
    <x v="0"/>
    <n v="10000"/>
    <x v="5"/>
    <x v="3"/>
    <s v="Manual"/>
    <s v="Yes"/>
    <n v="2"/>
    <x v="0"/>
    <x v="0"/>
    <n v="41"/>
    <x v="0"/>
    <x v="1"/>
  </r>
  <r>
    <n v="27760"/>
    <x v="1"/>
    <x v="0"/>
    <n v="40000"/>
    <x v="3"/>
    <x v="4"/>
    <s v="Clerical"/>
    <s v="No"/>
    <n v="0"/>
    <x v="0"/>
    <x v="0"/>
    <n v="37"/>
    <x v="0"/>
    <x v="1"/>
  </r>
  <r>
    <n v="22930"/>
    <x v="0"/>
    <x v="1"/>
    <n v="90000"/>
    <x v="5"/>
    <x v="0"/>
    <s v="Professional"/>
    <s v="Yes"/>
    <n v="0"/>
    <x v="3"/>
    <x v="1"/>
    <n v="38"/>
    <x v="0"/>
    <x v="1"/>
  </r>
  <r>
    <n v="23780"/>
    <x v="1"/>
    <x v="1"/>
    <n v="40000"/>
    <x v="4"/>
    <x v="1"/>
    <s v="Clerical"/>
    <s v="No"/>
    <n v="2"/>
    <x v="0"/>
    <x v="0"/>
    <n v="36"/>
    <x v="0"/>
    <x v="1"/>
  </r>
  <r>
    <n v="20994"/>
    <x v="0"/>
    <x v="0"/>
    <n v="20000"/>
    <x v="3"/>
    <x v="0"/>
    <s v="Clerical"/>
    <s v="No"/>
    <n v="0"/>
    <x v="0"/>
    <x v="1"/>
    <n v="26"/>
    <x v="2"/>
    <x v="1"/>
  </r>
  <r>
    <n v="28379"/>
    <x v="0"/>
    <x v="1"/>
    <n v="30000"/>
    <x v="0"/>
    <x v="0"/>
    <s v="Skilled Manual"/>
    <s v="Yes"/>
    <n v="2"/>
    <x v="0"/>
    <x v="0"/>
    <n v="40"/>
    <x v="0"/>
    <x v="0"/>
  </r>
  <r>
    <n v="14865"/>
    <x v="1"/>
    <x v="1"/>
    <n v="40000"/>
    <x v="4"/>
    <x v="1"/>
    <s v="Clerical"/>
    <s v="Yes"/>
    <n v="2"/>
    <x v="3"/>
    <x v="0"/>
    <n v="36"/>
    <x v="0"/>
    <x v="0"/>
  </r>
  <r>
    <n v="12663"/>
    <x v="0"/>
    <x v="0"/>
    <n v="90000"/>
    <x v="2"/>
    <x v="3"/>
    <s v="Skilled Manual"/>
    <s v="Yes"/>
    <n v="2"/>
    <x v="4"/>
    <x v="0"/>
    <n v="59"/>
    <x v="1"/>
    <x v="0"/>
  </r>
  <r>
    <n v="24898"/>
    <x v="1"/>
    <x v="0"/>
    <n v="80000"/>
    <x v="3"/>
    <x v="0"/>
    <s v="Professional"/>
    <s v="Yes"/>
    <n v="3"/>
    <x v="4"/>
    <x v="1"/>
    <n v="32"/>
    <x v="0"/>
    <x v="0"/>
  </r>
  <r>
    <n v="19508"/>
    <x v="0"/>
    <x v="1"/>
    <n v="10000"/>
    <x v="3"/>
    <x v="3"/>
    <s v="Manual"/>
    <s v="No"/>
    <n v="2"/>
    <x v="0"/>
    <x v="0"/>
    <n v="30"/>
    <x v="2"/>
    <x v="0"/>
  </r>
  <r>
    <n v="11489"/>
    <x v="1"/>
    <x v="0"/>
    <n v="20000"/>
    <x v="3"/>
    <x v="3"/>
    <s v="Manual"/>
    <s v="No"/>
    <n v="2"/>
    <x v="3"/>
    <x v="0"/>
    <n v="35"/>
    <x v="0"/>
    <x v="1"/>
  </r>
  <r>
    <n v="18160"/>
    <x v="0"/>
    <x v="1"/>
    <n v="130000"/>
    <x v="1"/>
    <x v="2"/>
    <s v="Professional"/>
    <s v="Yes"/>
    <n v="4"/>
    <x v="2"/>
    <x v="0"/>
    <n v="51"/>
    <x v="0"/>
    <x v="1"/>
  </r>
  <r>
    <n v="25241"/>
    <x v="0"/>
    <x v="1"/>
    <n v="90000"/>
    <x v="4"/>
    <x v="0"/>
    <s v="Professional"/>
    <s v="Yes"/>
    <n v="1"/>
    <x v="2"/>
    <x v="1"/>
    <n v="47"/>
    <x v="0"/>
    <x v="0"/>
  </r>
  <r>
    <n v="24369"/>
    <x v="0"/>
    <x v="1"/>
    <n v="80000"/>
    <x v="2"/>
    <x v="4"/>
    <s v="Management"/>
    <s v="No"/>
    <n v="2"/>
    <x v="0"/>
    <x v="1"/>
    <n v="39"/>
    <x v="0"/>
    <x v="0"/>
  </r>
  <r>
    <n v="27165"/>
    <x v="1"/>
    <x v="1"/>
    <n v="20000"/>
    <x v="3"/>
    <x v="3"/>
    <s v="Manual"/>
    <s v="No"/>
    <n v="2"/>
    <x v="0"/>
    <x v="0"/>
    <n v="34"/>
    <x v="0"/>
    <x v="0"/>
  </r>
  <r>
    <n v="29424"/>
    <x v="0"/>
    <x v="1"/>
    <n v="10000"/>
    <x v="3"/>
    <x v="3"/>
    <s v="Manual"/>
    <s v="Yes"/>
    <n v="2"/>
    <x v="0"/>
    <x v="0"/>
    <n v="32"/>
    <x v="0"/>
    <x v="0"/>
  </r>
  <r>
    <n v="15926"/>
    <x v="1"/>
    <x v="0"/>
    <n v="120000"/>
    <x v="1"/>
    <x v="2"/>
    <s v="Professional"/>
    <s v="Yes"/>
    <n v="4"/>
    <x v="2"/>
    <x v="0"/>
    <n v="50"/>
    <x v="0"/>
    <x v="1"/>
  </r>
  <r>
    <n v="14554"/>
    <x v="0"/>
    <x v="1"/>
    <n v="20000"/>
    <x v="0"/>
    <x v="0"/>
    <s v="Clerical"/>
    <s v="Yes"/>
    <n v="0"/>
    <x v="0"/>
    <x v="0"/>
    <n v="66"/>
    <x v="1"/>
    <x v="0"/>
  </r>
  <r>
    <n v="16468"/>
    <x v="1"/>
    <x v="1"/>
    <n v="30000"/>
    <x v="3"/>
    <x v="1"/>
    <s v="Clerical"/>
    <s v="Yes"/>
    <n v="1"/>
    <x v="1"/>
    <x v="0"/>
    <n v="30"/>
    <x v="2"/>
    <x v="0"/>
  </r>
  <r>
    <n v="19174"/>
    <x v="1"/>
    <x v="0"/>
    <n v="30000"/>
    <x v="3"/>
    <x v="2"/>
    <s v="Manual"/>
    <s v="No"/>
    <n v="1"/>
    <x v="1"/>
    <x v="0"/>
    <n v="32"/>
    <x v="0"/>
    <x v="1"/>
  </r>
  <r>
    <n v="19183"/>
    <x v="1"/>
    <x v="1"/>
    <n v="10000"/>
    <x v="3"/>
    <x v="3"/>
    <s v="Manual"/>
    <s v="Yes"/>
    <n v="2"/>
    <x v="3"/>
    <x v="0"/>
    <n v="35"/>
    <x v="0"/>
    <x v="0"/>
  </r>
  <r>
    <n v="13683"/>
    <x v="1"/>
    <x v="0"/>
    <n v="30000"/>
    <x v="3"/>
    <x v="2"/>
    <s v="Manual"/>
    <s v="No"/>
    <n v="1"/>
    <x v="1"/>
    <x v="0"/>
    <n v="32"/>
    <x v="0"/>
    <x v="0"/>
  </r>
  <r>
    <n v="17848"/>
    <x v="1"/>
    <x v="1"/>
    <n v="30000"/>
    <x v="3"/>
    <x v="1"/>
    <s v="Clerical"/>
    <s v="No"/>
    <n v="1"/>
    <x v="1"/>
    <x v="0"/>
    <n v="31"/>
    <x v="0"/>
    <x v="1"/>
  </r>
  <r>
    <n v="17894"/>
    <x v="0"/>
    <x v="0"/>
    <n v="20000"/>
    <x v="0"/>
    <x v="0"/>
    <s v="Clerical"/>
    <s v="Yes"/>
    <n v="0"/>
    <x v="0"/>
    <x v="0"/>
    <n v="50"/>
    <x v="0"/>
    <x v="1"/>
  </r>
  <r>
    <n v="25651"/>
    <x v="0"/>
    <x v="1"/>
    <n v="40000"/>
    <x v="0"/>
    <x v="0"/>
    <s v="Skilled Manual"/>
    <s v="No"/>
    <n v="0"/>
    <x v="0"/>
    <x v="0"/>
    <n v="43"/>
    <x v="0"/>
    <x v="1"/>
  </r>
  <r>
    <n v="22936"/>
    <x v="1"/>
    <x v="0"/>
    <n v="60000"/>
    <x v="0"/>
    <x v="1"/>
    <s v="Skilled Manual"/>
    <s v="No"/>
    <n v="1"/>
    <x v="0"/>
    <x v="1"/>
    <n v="45"/>
    <x v="0"/>
    <x v="1"/>
  </r>
  <r>
    <n v="23915"/>
    <x v="0"/>
    <x v="1"/>
    <n v="20000"/>
    <x v="4"/>
    <x v="2"/>
    <s v="Manual"/>
    <s v="Yes"/>
    <n v="2"/>
    <x v="0"/>
    <x v="0"/>
    <n v="42"/>
    <x v="0"/>
    <x v="0"/>
  </r>
  <r>
    <n v="24121"/>
    <x v="1"/>
    <x v="0"/>
    <n v="30000"/>
    <x v="3"/>
    <x v="1"/>
    <s v="Clerical"/>
    <s v="No"/>
    <n v="1"/>
    <x v="0"/>
    <x v="0"/>
    <n v="29"/>
    <x v="2"/>
    <x v="1"/>
  </r>
  <r>
    <n v="27878"/>
    <x v="1"/>
    <x v="1"/>
    <n v="20000"/>
    <x v="3"/>
    <x v="1"/>
    <s v="Manual"/>
    <s v="No"/>
    <n v="0"/>
    <x v="0"/>
    <x v="1"/>
    <n v="28"/>
    <x v="2"/>
    <x v="1"/>
  </r>
  <r>
    <n v="13572"/>
    <x v="1"/>
    <x v="1"/>
    <n v="10000"/>
    <x v="1"/>
    <x v="2"/>
    <s v="Manual"/>
    <s v="Yes"/>
    <n v="0"/>
    <x v="0"/>
    <x v="0"/>
    <n v="37"/>
    <x v="0"/>
    <x v="1"/>
  </r>
  <r>
    <n v="27941"/>
    <x v="0"/>
    <x v="0"/>
    <n v="80000"/>
    <x v="5"/>
    <x v="1"/>
    <s v="Professional"/>
    <s v="Yes"/>
    <n v="2"/>
    <x v="1"/>
    <x v="0"/>
    <n v="53"/>
    <x v="0"/>
    <x v="0"/>
  </r>
  <r>
    <n v="26354"/>
    <x v="1"/>
    <x v="1"/>
    <n v="40000"/>
    <x v="3"/>
    <x v="4"/>
    <s v="Clerical"/>
    <s v="No"/>
    <n v="0"/>
    <x v="0"/>
    <x v="0"/>
    <n v="38"/>
    <x v="0"/>
    <x v="1"/>
  </r>
  <r>
    <n v="14785"/>
    <x v="1"/>
    <x v="1"/>
    <n v="30000"/>
    <x v="0"/>
    <x v="0"/>
    <s v="Clerical"/>
    <s v="No"/>
    <n v="1"/>
    <x v="3"/>
    <x v="0"/>
    <n v="39"/>
    <x v="0"/>
    <x v="0"/>
  </r>
  <r>
    <n v="17238"/>
    <x v="1"/>
    <x v="1"/>
    <n v="80000"/>
    <x v="3"/>
    <x v="0"/>
    <s v="Professional"/>
    <s v="Yes"/>
    <n v="3"/>
    <x v="4"/>
    <x v="1"/>
    <n v="32"/>
    <x v="0"/>
    <x v="0"/>
  </r>
  <r>
    <n v="23608"/>
    <x v="0"/>
    <x v="0"/>
    <n v="150000"/>
    <x v="1"/>
    <x v="2"/>
    <s v="Professional"/>
    <s v="Yes"/>
    <n v="3"/>
    <x v="0"/>
    <x v="0"/>
    <n v="51"/>
    <x v="0"/>
    <x v="1"/>
  </r>
  <r>
    <n v="22538"/>
    <x v="1"/>
    <x v="0"/>
    <n v="10000"/>
    <x v="3"/>
    <x v="3"/>
    <s v="Manual"/>
    <s v="Yes"/>
    <n v="2"/>
    <x v="3"/>
    <x v="0"/>
    <n v="33"/>
    <x v="0"/>
    <x v="0"/>
  </r>
  <r>
    <n v="12332"/>
    <x v="0"/>
    <x v="1"/>
    <n v="90000"/>
    <x v="5"/>
    <x v="2"/>
    <s v="Management"/>
    <s v="Yes"/>
    <n v="3"/>
    <x v="2"/>
    <x v="0"/>
    <n v="58"/>
    <x v="1"/>
    <x v="1"/>
  </r>
  <r>
    <n v="17230"/>
    <x v="0"/>
    <x v="1"/>
    <n v="80000"/>
    <x v="3"/>
    <x v="0"/>
    <s v="Professional"/>
    <s v="Yes"/>
    <n v="3"/>
    <x v="4"/>
    <x v="1"/>
    <n v="30"/>
    <x v="2"/>
    <x v="0"/>
  </r>
  <r>
    <n v="13082"/>
    <x v="1"/>
    <x v="1"/>
    <n v="130000"/>
    <x v="3"/>
    <x v="4"/>
    <s v="Management"/>
    <s v="Yes"/>
    <n v="0"/>
    <x v="1"/>
    <x v="1"/>
    <n v="48"/>
    <x v="0"/>
    <x v="1"/>
  </r>
  <r>
    <n v="22518"/>
    <x v="1"/>
    <x v="0"/>
    <n v="30000"/>
    <x v="1"/>
    <x v="1"/>
    <s v="Clerical"/>
    <s v="No"/>
    <n v="2"/>
    <x v="0"/>
    <x v="0"/>
    <n v="27"/>
    <x v="2"/>
    <x v="1"/>
  </r>
  <r>
    <n v="13687"/>
    <x v="0"/>
    <x v="1"/>
    <n v="40000"/>
    <x v="0"/>
    <x v="0"/>
    <s v="Skilled Manual"/>
    <s v="Yes"/>
    <n v="1"/>
    <x v="0"/>
    <x v="0"/>
    <n v="33"/>
    <x v="0"/>
    <x v="1"/>
  </r>
  <r>
    <n v="23571"/>
    <x v="0"/>
    <x v="0"/>
    <n v="40000"/>
    <x v="4"/>
    <x v="0"/>
    <s v="Management"/>
    <s v="Yes"/>
    <n v="2"/>
    <x v="0"/>
    <x v="1"/>
    <n v="66"/>
    <x v="1"/>
    <x v="1"/>
  </r>
  <r>
    <n v="19305"/>
    <x v="1"/>
    <x v="0"/>
    <n v="10000"/>
    <x v="4"/>
    <x v="2"/>
    <s v="Manual"/>
    <s v="Yes"/>
    <n v="1"/>
    <x v="0"/>
    <x v="0"/>
    <n v="38"/>
    <x v="0"/>
    <x v="1"/>
  </r>
  <r>
    <n v="22636"/>
    <x v="1"/>
    <x v="0"/>
    <n v="40000"/>
    <x v="3"/>
    <x v="0"/>
    <s v="Clerical"/>
    <s v="No"/>
    <n v="0"/>
    <x v="0"/>
    <x v="0"/>
    <n v="38"/>
    <x v="0"/>
    <x v="1"/>
  </r>
  <r>
    <n v="17310"/>
    <x v="0"/>
    <x v="1"/>
    <n v="60000"/>
    <x v="0"/>
    <x v="1"/>
    <s v="Skilled Manual"/>
    <s v="Yes"/>
    <n v="1"/>
    <x v="0"/>
    <x v="1"/>
    <n v="45"/>
    <x v="0"/>
    <x v="1"/>
  </r>
  <r>
    <n v="12133"/>
    <x v="0"/>
    <x v="0"/>
    <n v="130000"/>
    <x v="1"/>
    <x v="1"/>
    <s v="Professional"/>
    <s v="Yes"/>
    <n v="3"/>
    <x v="2"/>
    <x v="0"/>
    <n v="50"/>
    <x v="0"/>
    <x v="1"/>
  </r>
  <r>
    <n v="25918"/>
    <x v="1"/>
    <x v="0"/>
    <n v="30000"/>
    <x v="4"/>
    <x v="1"/>
    <s v="Clerical"/>
    <s v="No"/>
    <n v="2"/>
    <x v="2"/>
    <x v="1"/>
    <n v="60"/>
    <x v="1"/>
    <x v="1"/>
  </r>
  <r>
    <n v="25752"/>
    <x v="1"/>
    <x v="0"/>
    <n v="20000"/>
    <x v="4"/>
    <x v="1"/>
    <s v="Manual"/>
    <s v="No"/>
    <n v="1"/>
    <x v="0"/>
    <x v="0"/>
    <n v="53"/>
    <x v="0"/>
    <x v="1"/>
  </r>
  <r>
    <n v="17324"/>
    <x v="0"/>
    <x v="0"/>
    <n v="100000"/>
    <x v="5"/>
    <x v="0"/>
    <s v="Professional"/>
    <s v="Yes"/>
    <n v="1"/>
    <x v="4"/>
    <x v="1"/>
    <n v="46"/>
    <x v="0"/>
    <x v="0"/>
  </r>
  <r>
    <n v="22918"/>
    <x v="1"/>
    <x v="1"/>
    <n v="80000"/>
    <x v="2"/>
    <x v="4"/>
    <s v="Management"/>
    <s v="Yes"/>
    <n v="3"/>
    <x v="0"/>
    <x v="1"/>
    <n v="50"/>
    <x v="0"/>
    <x v="0"/>
  </r>
  <r>
    <n v="12510"/>
    <x v="0"/>
    <x v="1"/>
    <n v="40000"/>
    <x v="0"/>
    <x v="0"/>
    <s v="Skilled Manual"/>
    <s v="Yes"/>
    <n v="1"/>
    <x v="0"/>
    <x v="0"/>
    <n v="43"/>
    <x v="0"/>
    <x v="1"/>
  </r>
  <r>
    <n v="25512"/>
    <x v="1"/>
    <x v="1"/>
    <n v="20000"/>
    <x v="3"/>
    <x v="2"/>
    <s v="Manual"/>
    <s v="No"/>
    <n v="1"/>
    <x v="1"/>
    <x v="0"/>
    <n v="30"/>
    <x v="2"/>
    <x v="0"/>
  </r>
  <r>
    <n v="16179"/>
    <x v="1"/>
    <x v="0"/>
    <n v="80000"/>
    <x v="2"/>
    <x v="0"/>
    <s v="Professional"/>
    <s v="Yes"/>
    <n v="4"/>
    <x v="3"/>
    <x v="1"/>
    <n v="38"/>
    <x v="0"/>
    <x v="0"/>
  </r>
  <r>
    <n v="15628"/>
    <x v="0"/>
    <x v="0"/>
    <n v="40000"/>
    <x v="0"/>
    <x v="0"/>
    <s v="Skilled Manual"/>
    <s v="Yes"/>
    <n v="1"/>
    <x v="0"/>
    <x v="0"/>
    <n v="89"/>
    <x v="1"/>
    <x v="0"/>
  </r>
  <r>
    <n v="20977"/>
    <x v="0"/>
    <x v="1"/>
    <n v="20000"/>
    <x v="0"/>
    <x v="0"/>
    <s v="Clerical"/>
    <s v="Yes"/>
    <n v="0"/>
    <x v="0"/>
    <x v="0"/>
    <n v="64"/>
    <x v="1"/>
    <x v="1"/>
  </r>
  <r>
    <n v="18140"/>
    <x v="0"/>
    <x v="1"/>
    <n v="130000"/>
    <x v="1"/>
    <x v="1"/>
    <s v="Professional"/>
    <s v="No"/>
    <n v="3"/>
    <x v="2"/>
    <x v="0"/>
    <n v="51"/>
    <x v="0"/>
    <x v="1"/>
  </r>
  <r>
    <n v="20417"/>
    <x v="0"/>
    <x v="1"/>
    <n v="30000"/>
    <x v="1"/>
    <x v="1"/>
    <s v="Clerical"/>
    <s v="No"/>
    <n v="2"/>
    <x v="2"/>
    <x v="1"/>
    <n v="56"/>
    <x v="1"/>
    <x v="0"/>
  </r>
  <r>
    <n v="18267"/>
    <x v="0"/>
    <x v="1"/>
    <n v="60000"/>
    <x v="1"/>
    <x v="0"/>
    <s v="Professional"/>
    <s v="Yes"/>
    <n v="2"/>
    <x v="2"/>
    <x v="1"/>
    <n v="43"/>
    <x v="0"/>
    <x v="0"/>
  </r>
  <r>
    <n v="13620"/>
    <x v="1"/>
    <x v="1"/>
    <n v="70000"/>
    <x v="3"/>
    <x v="0"/>
    <s v="Professional"/>
    <s v="No"/>
    <n v="3"/>
    <x v="4"/>
    <x v="1"/>
    <n v="30"/>
    <x v="2"/>
    <x v="1"/>
  </r>
  <r>
    <n v="22974"/>
    <x v="0"/>
    <x v="0"/>
    <n v="30000"/>
    <x v="4"/>
    <x v="1"/>
    <s v="Clerical"/>
    <s v="Yes"/>
    <n v="2"/>
    <x v="2"/>
    <x v="1"/>
    <n v="69"/>
    <x v="1"/>
    <x v="0"/>
  </r>
  <r>
    <n v="13586"/>
    <x v="0"/>
    <x v="1"/>
    <n v="80000"/>
    <x v="5"/>
    <x v="1"/>
    <s v="Professional"/>
    <s v="Yes"/>
    <n v="2"/>
    <x v="4"/>
    <x v="0"/>
    <n v="53"/>
    <x v="0"/>
    <x v="0"/>
  </r>
  <r>
    <n v="17978"/>
    <x v="0"/>
    <x v="1"/>
    <n v="40000"/>
    <x v="3"/>
    <x v="4"/>
    <s v="Clerical"/>
    <s v="Yes"/>
    <n v="0"/>
    <x v="0"/>
    <x v="0"/>
    <n v="37"/>
    <x v="0"/>
    <x v="1"/>
  </r>
  <r>
    <n v="12581"/>
    <x v="1"/>
    <x v="0"/>
    <n v="10000"/>
    <x v="3"/>
    <x v="1"/>
    <s v="Manual"/>
    <s v="No"/>
    <n v="1"/>
    <x v="0"/>
    <x v="1"/>
    <n v="28"/>
    <x v="2"/>
    <x v="1"/>
  </r>
  <r>
    <n v="18018"/>
    <x v="1"/>
    <x v="1"/>
    <n v="30000"/>
    <x v="1"/>
    <x v="1"/>
    <s v="Clerical"/>
    <s v="Yes"/>
    <n v="0"/>
    <x v="0"/>
    <x v="0"/>
    <n v="43"/>
    <x v="0"/>
    <x v="0"/>
  </r>
  <r>
    <n v="28957"/>
    <x v="1"/>
    <x v="0"/>
    <n v="120000"/>
    <x v="3"/>
    <x v="3"/>
    <s v="Professional"/>
    <s v="Yes"/>
    <n v="4"/>
    <x v="4"/>
    <x v="1"/>
    <n v="34"/>
    <x v="0"/>
    <x v="1"/>
  </r>
  <r>
    <n v="13690"/>
    <x v="1"/>
    <x v="0"/>
    <n v="20000"/>
    <x v="3"/>
    <x v="3"/>
    <s v="Manual"/>
    <s v="No"/>
    <n v="2"/>
    <x v="3"/>
    <x v="0"/>
    <n v="34"/>
    <x v="0"/>
    <x v="1"/>
  </r>
  <r>
    <n v="12568"/>
    <x v="0"/>
    <x v="0"/>
    <n v="30000"/>
    <x v="0"/>
    <x v="0"/>
    <s v="Clerical"/>
    <s v="Yes"/>
    <n v="0"/>
    <x v="0"/>
    <x v="0"/>
    <n v="64"/>
    <x v="1"/>
    <x v="0"/>
  </r>
  <r>
    <n v="13122"/>
    <x v="0"/>
    <x v="0"/>
    <n v="80000"/>
    <x v="3"/>
    <x v="0"/>
    <s v="Professional"/>
    <s v="Yes"/>
    <n v="1"/>
    <x v="3"/>
    <x v="1"/>
    <n v="41"/>
    <x v="0"/>
    <x v="1"/>
  </r>
  <r>
    <n v="21184"/>
    <x v="1"/>
    <x v="1"/>
    <n v="70000"/>
    <x v="3"/>
    <x v="0"/>
    <s v="Professional"/>
    <s v="No"/>
    <n v="1"/>
    <x v="2"/>
    <x v="1"/>
    <n v="38"/>
    <x v="0"/>
    <x v="0"/>
  </r>
  <r>
    <n v="26150"/>
    <x v="1"/>
    <x v="0"/>
    <n v="70000"/>
    <x v="3"/>
    <x v="0"/>
    <s v="Professional"/>
    <s v="No"/>
    <n v="1"/>
    <x v="0"/>
    <x v="1"/>
    <n v="41"/>
    <x v="0"/>
    <x v="1"/>
  </r>
  <r>
    <n v="24151"/>
    <x v="1"/>
    <x v="1"/>
    <n v="20000"/>
    <x v="0"/>
    <x v="0"/>
    <s v="Clerical"/>
    <s v="No"/>
    <n v="0"/>
    <x v="0"/>
    <x v="0"/>
    <n v="51"/>
    <x v="0"/>
    <x v="0"/>
  </r>
  <r>
    <n v="23962"/>
    <x v="0"/>
    <x v="0"/>
    <n v="10000"/>
    <x v="3"/>
    <x v="3"/>
    <s v="Manual"/>
    <s v="Yes"/>
    <n v="2"/>
    <x v="3"/>
    <x v="0"/>
    <n v="32"/>
    <x v="0"/>
    <x v="0"/>
  </r>
  <r>
    <n v="17793"/>
    <x v="0"/>
    <x v="0"/>
    <n v="40000"/>
    <x v="3"/>
    <x v="0"/>
    <s v="Clerical"/>
    <s v="Yes"/>
    <n v="0"/>
    <x v="0"/>
    <x v="0"/>
    <n v="38"/>
    <x v="0"/>
    <x v="1"/>
  </r>
  <r>
    <n v="14926"/>
    <x v="0"/>
    <x v="1"/>
    <n v="30000"/>
    <x v="0"/>
    <x v="0"/>
    <s v="Clerical"/>
    <s v="Yes"/>
    <n v="0"/>
    <x v="0"/>
    <x v="0"/>
    <n v="38"/>
    <x v="0"/>
    <x v="1"/>
  </r>
  <r>
    <n v="16163"/>
    <x v="1"/>
    <x v="1"/>
    <n v="60000"/>
    <x v="4"/>
    <x v="0"/>
    <s v="Professional"/>
    <s v="Yes"/>
    <n v="1"/>
    <x v="1"/>
    <x v="1"/>
    <n v="38"/>
    <x v="0"/>
    <x v="1"/>
  </r>
  <r>
    <n v="21365"/>
    <x v="0"/>
    <x v="0"/>
    <n v="10000"/>
    <x v="4"/>
    <x v="3"/>
    <s v="Clerical"/>
    <s v="Yes"/>
    <n v="2"/>
    <x v="2"/>
    <x v="1"/>
    <n v="58"/>
    <x v="1"/>
    <x v="0"/>
  </r>
  <r>
    <n v="27771"/>
    <x v="1"/>
    <x v="1"/>
    <n v="30000"/>
    <x v="0"/>
    <x v="0"/>
    <s v="Clerical"/>
    <s v="Yes"/>
    <n v="1"/>
    <x v="3"/>
    <x v="0"/>
    <n v="39"/>
    <x v="0"/>
    <x v="1"/>
  </r>
  <r>
    <n v="26167"/>
    <x v="1"/>
    <x v="0"/>
    <n v="40000"/>
    <x v="4"/>
    <x v="0"/>
    <s v="Management"/>
    <s v="No"/>
    <n v="1"/>
    <x v="2"/>
    <x v="1"/>
    <n v="53"/>
    <x v="0"/>
    <x v="1"/>
  </r>
  <r>
    <n v="25792"/>
    <x v="1"/>
    <x v="0"/>
    <n v="110000"/>
    <x v="1"/>
    <x v="0"/>
    <s v="Management"/>
    <s v="Yes"/>
    <n v="4"/>
    <x v="4"/>
    <x v="0"/>
    <n v="53"/>
    <x v="0"/>
    <x v="0"/>
  </r>
  <r>
    <n v="11555"/>
    <x v="0"/>
    <x v="0"/>
    <n v="40000"/>
    <x v="0"/>
    <x v="0"/>
    <s v="Clerical"/>
    <s v="Yes"/>
    <n v="0"/>
    <x v="0"/>
    <x v="0"/>
    <n v="80"/>
    <x v="1"/>
    <x v="0"/>
  </r>
  <r>
    <n v="22381"/>
    <x v="0"/>
    <x v="1"/>
    <n v="10000"/>
    <x v="0"/>
    <x v="4"/>
    <s v="Manual"/>
    <s v="Yes"/>
    <n v="0"/>
    <x v="0"/>
    <x v="0"/>
    <n v="44"/>
    <x v="0"/>
    <x v="0"/>
  </r>
  <r>
    <n v="17882"/>
    <x v="0"/>
    <x v="1"/>
    <n v="20000"/>
    <x v="0"/>
    <x v="4"/>
    <s v="Clerical"/>
    <s v="Yes"/>
    <n v="0"/>
    <x v="0"/>
    <x v="0"/>
    <n v="44"/>
    <x v="0"/>
    <x v="0"/>
  </r>
  <r>
    <n v="22174"/>
    <x v="0"/>
    <x v="1"/>
    <n v="30000"/>
    <x v="1"/>
    <x v="2"/>
    <s v="Skilled Manual"/>
    <s v="Yes"/>
    <n v="2"/>
    <x v="2"/>
    <x v="1"/>
    <n v="54"/>
    <x v="0"/>
    <x v="1"/>
  </r>
  <r>
    <n v="22439"/>
    <x v="0"/>
    <x v="0"/>
    <n v="30000"/>
    <x v="3"/>
    <x v="0"/>
    <s v="Clerical"/>
    <s v="Yes"/>
    <n v="0"/>
    <x v="0"/>
    <x v="0"/>
    <n v="37"/>
    <x v="0"/>
    <x v="1"/>
  </r>
  <r>
    <n v="18012"/>
    <x v="0"/>
    <x v="0"/>
    <n v="40000"/>
    <x v="0"/>
    <x v="0"/>
    <s v="Skilled Manual"/>
    <s v="Yes"/>
    <n v="0"/>
    <x v="0"/>
    <x v="0"/>
    <n v="41"/>
    <x v="0"/>
    <x v="0"/>
  </r>
  <r>
    <n v="27582"/>
    <x v="1"/>
    <x v="0"/>
    <n v="90000"/>
    <x v="4"/>
    <x v="0"/>
    <s v="Professional"/>
    <s v="No"/>
    <n v="0"/>
    <x v="0"/>
    <x v="1"/>
    <n v="36"/>
    <x v="0"/>
    <x v="1"/>
  </r>
  <r>
    <n v="12744"/>
    <x v="1"/>
    <x v="0"/>
    <n v="40000"/>
    <x v="4"/>
    <x v="1"/>
    <s v="Clerical"/>
    <s v="Yes"/>
    <n v="0"/>
    <x v="0"/>
    <x v="0"/>
    <n v="33"/>
    <x v="0"/>
    <x v="0"/>
  </r>
  <r>
    <n v="22821"/>
    <x v="0"/>
    <x v="0"/>
    <n v="130000"/>
    <x v="1"/>
    <x v="1"/>
    <s v="Professional"/>
    <s v="Yes"/>
    <n v="4"/>
    <x v="0"/>
    <x v="0"/>
    <n v="52"/>
    <x v="0"/>
    <x v="0"/>
  </r>
  <r>
    <n v="20171"/>
    <x v="0"/>
    <x v="0"/>
    <n v="20000"/>
    <x v="4"/>
    <x v="1"/>
    <s v="Manual"/>
    <s v="Yes"/>
    <n v="1"/>
    <x v="0"/>
    <x v="0"/>
    <n v="46"/>
    <x v="0"/>
    <x v="1"/>
  </r>
  <r>
    <n v="11116"/>
    <x v="0"/>
    <x v="1"/>
    <n v="70000"/>
    <x v="2"/>
    <x v="1"/>
    <s v="Skilled Manual"/>
    <s v="Yes"/>
    <n v="2"/>
    <x v="2"/>
    <x v="1"/>
    <n v="43"/>
    <x v="0"/>
    <x v="0"/>
  </r>
  <r>
    <n v="20053"/>
    <x v="1"/>
    <x v="1"/>
    <n v="40000"/>
    <x v="4"/>
    <x v="1"/>
    <s v="Clerical"/>
    <s v="Yes"/>
    <n v="0"/>
    <x v="0"/>
    <x v="0"/>
    <n v="34"/>
    <x v="0"/>
    <x v="0"/>
  </r>
  <r>
    <n v="25266"/>
    <x v="1"/>
    <x v="0"/>
    <n v="30000"/>
    <x v="4"/>
    <x v="1"/>
    <s v="Clerical"/>
    <s v="No"/>
    <n v="2"/>
    <x v="2"/>
    <x v="1"/>
    <n v="67"/>
    <x v="1"/>
    <x v="0"/>
  </r>
  <r>
    <n v="17960"/>
    <x v="0"/>
    <x v="0"/>
    <n v="40000"/>
    <x v="3"/>
    <x v="4"/>
    <s v="Clerical"/>
    <s v="Yes"/>
    <n v="0"/>
    <x v="0"/>
    <x v="0"/>
    <n v="35"/>
    <x v="0"/>
    <x v="1"/>
  </r>
  <r>
    <n v="13961"/>
    <x v="0"/>
    <x v="0"/>
    <n v="80000"/>
    <x v="2"/>
    <x v="4"/>
    <s v="Management"/>
    <s v="Yes"/>
    <n v="3"/>
    <x v="0"/>
    <x v="1"/>
    <n v="40"/>
    <x v="0"/>
    <x v="0"/>
  </r>
  <r>
    <n v="11897"/>
    <x v="1"/>
    <x v="1"/>
    <n v="60000"/>
    <x v="4"/>
    <x v="0"/>
    <s v="Professional"/>
    <s v="No"/>
    <n v="1"/>
    <x v="0"/>
    <x v="1"/>
    <n v="37"/>
    <x v="0"/>
    <x v="1"/>
  </r>
  <r>
    <n v="11139"/>
    <x v="1"/>
    <x v="0"/>
    <n v="30000"/>
    <x v="4"/>
    <x v="1"/>
    <s v="Clerical"/>
    <s v="No"/>
    <n v="2"/>
    <x v="2"/>
    <x v="1"/>
    <n v="67"/>
    <x v="1"/>
    <x v="0"/>
  </r>
  <r>
    <n v="11576"/>
    <x v="0"/>
    <x v="1"/>
    <n v="30000"/>
    <x v="0"/>
    <x v="0"/>
    <s v="Skilled Manual"/>
    <s v="Yes"/>
    <n v="2"/>
    <x v="0"/>
    <x v="0"/>
    <n v="41"/>
    <x v="0"/>
    <x v="1"/>
  </r>
  <r>
    <n v="19255"/>
    <x v="1"/>
    <x v="1"/>
    <n v="10000"/>
    <x v="4"/>
    <x v="1"/>
    <s v="Manual"/>
    <s v="Yes"/>
    <n v="1"/>
    <x v="0"/>
    <x v="0"/>
    <n v="51"/>
    <x v="0"/>
    <x v="1"/>
  </r>
  <r>
    <n v="18153"/>
    <x v="0"/>
    <x v="0"/>
    <n v="100000"/>
    <x v="4"/>
    <x v="0"/>
    <s v="Management"/>
    <s v="Yes"/>
    <n v="4"/>
    <x v="4"/>
    <x v="0"/>
    <n v="59"/>
    <x v="1"/>
    <x v="0"/>
  </r>
  <r>
    <n v="14547"/>
    <x v="0"/>
    <x v="1"/>
    <n v="10000"/>
    <x v="4"/>
    <x v="1"/>
    <s v="Manual"/>
    <s v="Yes"/>
    <n v="0"/>
    <x v="3"/>
    <x v="0"/>
    <n v="51"/>
    <x v="0"/>
    <x v="0"/>
  </r>
  <r>
    <n v="24901"/>
    <x v="1"/>
    <x v="1"/>
    <n v="110000"/>
    <x v="3"/>
    <x v="1"/>
    <s v="Management"/>
    <s v="No"/>
    <n v="3"/>
    <x v="4"/>
    <x v="1"/>
    <n v="32"/>
    <x v="0"/>
    <x v="1"/>
  </r>
  <r>
    <n v="27169"/>
    <x v="1"/>
    <x v="1"/>
    <n v="30000"/>
    <x v="3"/>
    <x v="2"/>
    <s v="Manual"/>
    <s v="Yes"/>
    <n v="1"/>
    <x v="1"/>
    <x v="0"/>
    <n v="34"/>
    <x v="0"/>
    <x v="1"/>
  </r>
  <r>
    <n v="14805"/>
    <x v="1"/>
    <x v="0"/>
    <n v="10000"/>
    <x v="1"/>
    <x v="3"/>
    <s v="Manual"/>
    <s v="Yes"/>
    <n v="2"/>
    <x v="0"/>
    <x v="0"/>
    <n v="43"/>
    <x v="0"/>
    <x v="0"/>
  </r>
  <r>
    <n v="15822"/>
    <x v="0"/>
    <x v="1"/>
    <n v="40000"/>
    <x v="4"/>
    <x v="0"/>
    <s v="Management"/>
    <s v="Yes"/>
    <n v="2"/>
    <x v="0"/>
    <x v="1"/>
    <n v="67"/>
    <x v="1"/>
    <x v="0"/>
  </r>
  <r>
    <n v="19389"/>
    <x v="1"/>
    <x v="1"/>
    <n v="30000"/>
    <x v="3"/>
    <x v="1"/>
    <s v="Clerical"/>
    <s v="No"/>
    <n v="1"/>
    <x v="1"/>
    <x v="0"/>
    <n v="28"/>
    <x v="2"/>
    <x v="0"/>
  </r>
  <r>
    <n v="17048"/>
    <x v="1"/>
    <x v="0"/>
    <n v="90000"/>
    <x v="0"/>
    <x v="4"/>
    <s v="Management"/>
    <s v="Yes"/>
    <n v="0"/>
    <x v="0"/>
    <x v="1"/>
    <n v="36"/>
    <x v="0"/>
    <x v="1"/>
  </r>
  <r>
    <n v="22204"/>
    <x v="0"/>
    <x v="1"/>
    <n v="110000"/>
    <x v="5"/>
    <x v="0"/>
    <s v="Management"/>
    <s v="Yes"/>
    <n v="3"/>
    <x v="1"/>
    <x v="1"/>
    <n v="48"/>
    <x v="0"/>
    <x v="0"/>
  </r>
  <r>
    <n v="12718"/>
    <x v="1"/>
    <x v="0"/>
    <n v="30000"/>
    <x v="3"/>
    <x v="1"/>
    <s v="Clerical"/>
    <s v="Yes"/>
    <n v="1"/>
    <x v="1"/>
    <x v="0"/>
    <n v="31"/>
    <x v="0"/>
    <x v="0"/>
  </r>
  <r>
    <n v="15019"/>
    <x v="1"/>
    <x v="0"/>
    <n v="30000"/>
    <x v="1"/>
    <x v="2"/>
    <s v="Skilled Manual"/>
    <s v="Yes"/>
    <n v="2"/>
    <x v="2"/>
    <x v="1"/>
    <n v="55"/>
    <x v="1"/>
    <x v="0"/>
  </r>
  <r>
    <n v="28488"/>
    <x v="1"/>
    <x v="1"/>
    <n v="20000"/>
    <x v="3"/>
    <x v="1"/>
    <s v="Manual"/>
    <s v="Yes"/>
    <n v="0"/>
    <x v="0"/>
    <x v="1"/>
    <n v="28"/>
    <x v="2"/>
    <x v="1"/>
  </r>
  <r>
    <n v="21891"/>
    <x v="0"/>
    <x v="0"/>
    <n v="110000"/>
    <x v="3"/>
    <x v="2"/>
    <s v="Management"/>
    <s v="Yes"/>
    <n v="3"/>
    <x v="4"/>
    <x v="1"/>
    <n v="34"/>
    <x v="0"/>
    <x v="1"/>
  </r>
  <r>
    <n v="27814"/>
    <x v="1"/>
    <x v="0"/>
    <n v="30000"/>
    <x v="1"/>
    <x v="1"/>
    <s v="Clerical"/>
    <s v="No"/>
    <n v="1"/>
    <x v="0"/>
    <x v="0"/>
    <n v="26"/>
    <x v="2"/>
    <x v="0"/>
  </r>
  <r>
    <n v="22175"/>
    <x v="0"/>
    <x v="0"/>
    <n v="30000"/>
    <x v="1"/>
    <x v="2"/>
    <s v="Skilled Manual"/>
    <s v="Yes"/>
    <n v="2"/>
    <x v="2"/>
    <x v="1"/>
    <n v="53"/>
    <x v="0"/>
    <x v="1"/>
  </r>
  <r>
    <n v="29447"/>
    <x v="1"/>
    <x v="0"/>
    <n v="10000"/>
    <x v="4"/>
    <x v="0"/>
    <s v="Clerical"/>
    <s v="No"/>
    <n v="1"/>
    <x v="1"/>
    <x v="0"/>
    <n v="68"/>
    <x v="1"/>
    <x v="0"/>
  </r>
  <r>
    <n v="19784"/>
    <x v="0"/>
    <x v="0"/>
    <n v="80000"/>
    <x v="4"/>
    <x v="2"/>
    <s v="Skilled Manual"/>
    <s v="Yes"/>
    <n v="2"/>
    <x v="2"/>
    <x v="1"/>
    <n v="50"/>
    <x v="0"/>
    <x v="1"/>
  </r>
  <r>
    <n v="27824"/>
    <x v="1"/>
    <x v="0"/>
    <n v="30000"/>
    <x v="1"/>
    <x v="1"/>
    <s v="Clerical"/>
    <s v="Yes"/>
    <n v="2"/>
    <x v="0"/>
    <x v="0"/>
    <n v="28"/>
    <x v="2"/>
    <x v="1"/>
  </r>
  <r>
    <n v="24093"/>
    <x v="1"/>
    <x v="0"/>
    <n v="80000"/>
    <x v="3"/>
    <x v="4"/>
    <s v="Skilled Manual"/>
    <s v="No"/>
    <n v="0"/>
    <x v="0"/>
    <x v="0"/>
    <n v="40"/>
    <x v="0"/>
    <x v="1"/>
  </r>
  <r>
    <n v="19618"/>
    <x v="0"/>
    <x v="1"/>
    <n v="70000"/>
    <x v="2"/>
    <x v="1"/>
    <s v="Skilled Manual"/>
    <s v="Yes"/>
    <n v="2"/>
    <x v="0"/>
    <x v="1"/>
    <n v="44"/>
    <x v="0"/>
    <x v="0"/>
  </r>
  <r>
    <n v="21561"/>
    <x v="1"/>
    <x v="1"/>
    <n v="90000"/>
    <x v="3"/>
    <x v="0"/>
    <s v="Professional"/>
    <s v="No"/>
    <n v="3"/>
    <x v="4"/>
    <x v="1"/>
    <n v="34"/>
    <x v="0"/>
    <x v="1"/>
  </r>
  <r>
    <n v="11061"/>
    <x v="0"/>
    <x v="1"/>
    <n v="70000"/>
    <x v="4"/>
    <x v="1"/>
    <s v="Skilled Manual"/>
    <s v="Yes"/>
    <n v="2"/>
    <x v="2"/>
    <x v="1"/>
    <n v="52"/>
    <x v="0"/>
    <x v="1"/>
  </r>
  <r>
    <n v="26651"/>
    <x v="1"/>
    <x v="1"/>
    <n v="80000"/>
    <x v="5"/>
    <x v="4"/>
    <s v="Management"/>
    <s v="Yes"/>
    <n v="0"/>
    <x v="0"/>
    <x v="1"/>
    <n v="36"/>
    <x v="0"/>
    <x v="1"/>
  </r>
  <r>
    <n v="21108"/>
    <x v="0"/>
    <x v="0"/>
    <n v="40000"/>
    <x v="0"/>
    <x v="0"/>
    <s v="Skilled Manual"/>
    <s v="Yes"/>
    <n v="1"/>
    <x v="0"/>
    <x v="0"/>
    <n v="43"/>
    <x v="0"/>
    <x v="1"/>
  </r>
  <r>
    <n v="12731"/>
    <x v="1"/>
    <x v="1"/>
    <n v="30000"/>
    <x v="3"/>
    <x v="2"/>
    <s v="Manual"/>
    <s v="No"/>
    <n v="1"/>
    <x v="3"/>
    <x v="0"/>
    <n v="32"/>
    <x v="0"/>
    <x v="0"/>
  </r>
  <r>
    <n v="25307"/>
    <x v="0"/>
    <x v="0"/>
    <n v="40000"/>
    <x v="0"/>
    <x v="0"/>
    <s v="Skilled Manual"/>
    <s v="Yes"/>
    <n v="1"/>
    <x v="3"/>
    <x v="0"/>
    <n v="32"/>
    <x v="0"/>
    <x v="1"/>
  </r>
  <r>
    <n v="14278"/>
    <x v="0"/>
    <x v="0"/>
    <n v="130000"/>
    <x v="3"/>
    <x v="4"/>
    <s v="Management"/>
    <s v="Yes"/>
    <n v="1"/>
    <x v="4"/>
    <x v="1"/>
    <n v="48"/>
    <x v="0"/>
    <x v="0"/>
  </r>
  <r>
    <n v="20711"/>
    <x v="0"/>
    <x v="0"/>
    <n v="40000"/>
    <x v="0"/>
    <x v="0"/>
    <s v="Skilled Manual"/>
    <s v="Yes"/>
    <n v="0"/>
    <x v="3"/>
    <x v="0"/>
    <n v="32"/>
    <x v="0"/>
    <x v="1"/>
  </r>
  <r>
    <n v="11383"/>
    <x v="0"/>
    <x v="0"/>
    <n v="30000"/>
    <x v="1"/>
    <x v="4"/>
    <s v="Clerical"/>
    <s v="Yes"/>
    <n v="0"/>
    <x v="0"/>
    <x v="0"/>
    <n v="46"/>
    <x v="0"/>
    <x v="0"/>
  </r>
  <r>
    <n v="12497"/>
    <x v="0"/>
    <x v="0"/>
    <n v="40000"/>
    <x v="0"/>
    <x v="0"/>
    <s v="Skilled Manual"/>
    <s v="Yes"/>
    <n v="0"/>
    <x v="0"/>
    <x v="0"/>
    <n v="42"/>
    <x v="0"/>
    <x v="0"/>
  </r>
  <r>
    <n v="16559"/>
    <x v="1"/>
    <x v="0"/>
    <n v="10000"/>
    <x v="4"/>
    <x v="2"/>
    <s v="Manual"/>
    <s v="Yes"/>
    <n v="0"/>
    <x v="0"/>
    <x v="0"/>
    <n v="36"/>
    <x v="0"/>
    <x v="1"/>
  </r>
  <r>
    <n v="11585"/>
    <x v="0"/>
    <x v="0"/>
    <n v="40000"/>
    <x v="0"/>
    <x v="0"/>
    <s v="Skilled Manual"/>
    <s v="Yes"/>
    <n v="0"/>
    <x v="0"/>
    <x v="0"/>
    <n v="41"/>
    <x v="0"/>
    <x v="0"/>
  </r>
  <r>
    <n v="20277"/>
    <x v="0"/>
    <x v="0"/>
    <n v="30000"/>
    <x v="4"/>
    <x v="1"/>
    <s v="Clerical"/>
    <s v="No"/>
    <n v="2"/>
    <x v="0"/>
    <x v="1"/>
    <n v="69"/>
    <x v="1"/>
    <x v="0"/>
  </r>
  <r>
    <n v="26765"/>
    <x v="1"/>
    <x v="0"/>
    <n v="70000"/>
    <x v="2"/>
    <x v="1"/>
    <s v="Skilled Manual"/>
    <s v="Yes"/>
    <n v="2"/>
    <x v="2"/>
    <x v="1"/>
    <n v="45"/>
    <x v="0"/>
    <x v="0"/>
  </r>
  <r>
    <n v="12389"/>
    <x v="1"/>
    <x v="1"/>
    <n v="30000"/>
    <x v="3"/>
    <x v="2"/>
    <s v="Manual"/>
    <s v="No"/>
    <n v="1"/>
    <x v="1"/>
    <x v="0"/>
    <n v="34"/>
    <x v="0"/>
    <x v="0"/>
  </r>
  <r>
    <n v="13585"/>
    <x v="0"/>
    <x v="0"/>
    <n v="80000"/>
    <x v="5"/>
    <x v="1"/>
    <s v="Professional"/>
    <s v="No"/>
    <n v="1"/>
    <x v="1"/>
    <x v="0"/>
    <n v="53"/>
    <x v="0"/>
    <x v="1"/>
  </r>
  <r>
    <n v="26385"/>
    <x v="1"/>
    <x v="1"/>
    <n v="120000"/>
    <x v="1"/>
    <x v="2"/>
    <s v="Professional"/>
    <s v="No"/>
    <n v="4"/>
    <x v="2"/>
    <x v="0"/>
    <n v="50"/>
    <x v="0"/>
    <x v="0"/>
  </r>
  <r>
    <n v="12236"/>
    <x v="0"/>
    <x v="0"/>
    <n v="20000"/>
    <x v="0"/>
    <x v="1"/>
    <s v="Manual"/>
    <s v="Yes"/>
    <n v="0"/>
    <x v="0"/>
    <x v="0"/>
    <n v="65"/>
    <x v="1"/>
    <x v="0"/>
  </r>
  <r>
    <n v="21560"/>
    <x v="0"/>
    <x v="1"/>
    <n v="120000"/>
    <x v="3"/>
    <x v="3"/>
    <s v="Professional"/>
    <s v="Yes"/>
    <n v="4"/>
    <x v="4"/>
    <x v="1"/>
    <n v="32"/>
    <x v="0"/>
    <x v="1"/>
  </r>
  <r>
    <n v="21554"/>
    <x v="1"/>
    <x v="0"/>
    <n v="80000"/>
    <x v="3"/>
    <x v="0"/>
    <s v="Professional"/>
    <s v="No"/>
    <n v="3"/>
    <x v="4"/>
    <x v="1"/>
    <n v="33"/>
    <x v="0"/>
    <x v="0"/>
  </r>
  <r>
    <n v="13662"/>
    <x v="1"/>
    <x v="1"/>
    <n v="20000"/>
    <x v="3"/>
    <x v="3"/>
    <s v="Manual"/>
    <s v="Yes"/>
    <n v="2"/>
    <x v="3"/>
    <x v="0"/>
    <n v="31"/>
    <x v="0"/>
    <x v="1"/>
  </r>
  <r>
    <n v="13089"/>
    <x v="0"/>
    <x v="0"/>
    <n v="120000"/>
    <x v="0"/>
    <x v="0"/>
    <s v="Management"/>
    <s v="Yes"/>
    <n v="2"/>
    <x v="0"/>
    <x v="1"/>
    <n v="46"/>
    <x v="0"/>
    <x v="1"/>
  </r>
  <r>
    <n v="14791"/>
    <x v="0"/>
    <x v="0"/>
    <n v="40000"/>
    <x v="3"/>
    <x v="0"/>
    <s v="Clerical"/>
    <s v="Yes"/>
    <n v="0"/>
    <x v="0"/>
    <x v="0"/>
    <n v="39"/>
    <x v="0"/>
    <x v="1"/>
  </r>
  <r>
    <n v="19331"/>
    <x v="1"/>
    <x v="1"/>
    <n v="20000"/>
    <x v="4"/>
    <x v="2"/>
    <s v="Manual"/>
    <s v="Yes"/>
    <n v="1"/>
    <x v="0"/>
    <x v="0"/>
    <n v="40"/>
    <x v="0"/>
    <x v="0"/>
  </r>
  <r>
    <n v="17754"/>
    <x v="1"/>
    <x v="0"/>
    <n v="30000"/>
    <x v="1"/>
    <x v="0"/>
    <s v="Clerical"/>
    <s v="Yes"/>
    <n v="0"/>
    <x v="0"/>
    <x v="0"/>
    <n v="46"/>
    <x v="0"/>
    <x v="1"/>
  </r>
  <r>
    <n v="11149"/>
    <x v="0"/>
    <x v="1"/>
    <n v="40000"/>
    <x v="4"/>
    <x v="0"/>
    <s v="Management"/>
    <s v="Yes"/>
    <n v="2"/>
    <x v="0"/>
    <x v="1"/>
    <n v="65"/>
    <x v="1"/>
    <x v="0"/>
  </r>
  <r>
    <n v="16549"/>
    <x v="1"/>
    <x v="0"/>
    <n v="30000"/>
    <x v="1"/>
    <x v="0"/>
    <s v="Clerical"/>
    <s v="Yes"/>
    <n v="0"/>
    <x v="0"/>
    <x v="0"/>
    <n v="47"/>
    <x v="0"/>
    <x v="1"/>
  </r>
  <r>
    <n v="24305"/>
    <x v="1"/>
    <x v="1"/>
    <n v="100000"/>
    <x v="0"/>
    <x v="0"/>
    <s v="Management"/>
    <s v="No"/>
    <n v="3"/>
    <x v="0"/>
    <x v="1"/>
    <n v="46"/>
    <x v="0"/>
    <x v="1"/>
  </r>
  <r>
    <n v="18253"/>
    <x v="0"/>
    <x v="0"/>
    <n v="80000"/>
    <x v="2"/>
    <x v="4"/>
    <s v="Management"/>
    <s v="Yes"/>
    <n v="3"/>
    <x v="0"/>
    <x v="1"/>
    <n v="40"/>
    <x v="0"/>
    <x v="0"/>
  </r>
  <r>
    <n v="20147"/>
    <x v="0"/>
    <x v="0"/>
    <n v="30000"/>
    <x v="0"/>
    <x v="0"/>
    <s v="Clerical"/>
    <s v="Yes"/>
    <n v="0"/>
    <x v="0"/>
    <x v="0"/>
    <n v="65"/>
    <x v="1"/>
    <x v="0"/>
  </r>
  <r>
    <n v="15612"/>
    <x v="1"/>
    <x v="1"/>
    <n v="30000"/>
    <x v="3"/>
    <x v="2"/>
    <s v="Manual"/>
    <s v="No"/>
    <n v="1"/>
    <x v="3"/>
    <x v="0"/>
    <n v="28"/>
    <x v="2"/>
    <x v="0"/>
  </r>
  <r>
    <n v="28323"/>
    <x v="1"/>
    <x v="1"/>
    <n v="70000"/>
    <x v="3"/>
    <x v="0"/>
    <s v="Professional"/>
    <s v="No"/>
    <n v="2"/>
    <x v="2"/>
    <x v="1"/>
    <n v="43"/>
    <x v="0"/>
    <x v="1"/>
  </r>
  <r>
    <n v="22634"/>
    <x v="1"/>
    <x v="0"/>
    <n v="40000"/>
    <x v="3"/>
    <x v="4"/>
    <s v="Clerical"/>
    <s v="Yes"/>
    <n v="0"/>
    <x v="0"/>
    <x v="0"/>
    <n v="38"/>
    <x v="0"/>
    <x v="1"/>
  </r>
  <r>
    <n v="15665"/>
    <x v="0"/>
    <x v="0"/>
    <n v="30000"/>
    <x v="3"/>
    <x v="0"/>
    <s v="Clerical"/>
    <s v="Yes"/>
    <n v="0"/>
    <x v="0"/>
    <x v="0"/>
    <n v="47"/>
    <x v="0"/>
    <x v="1"/>
  </r>
  <r>
    <n v="27585"/>
    <x v="0"/>
    <x v="0"/>
    <n v="90000"/>
    <x v="4"/>
    <x v="0"/>
    <s v="Professional"/>
    <s v="No"/>
    <n v="0"/>
    <x v="0"/>
    <x v="1"/>
    <n v="36"/>
    <x v="0"/>
    <x v="1"/>
  </r>
  <r>
    <n v="19748"/>
    <x v="0"/>
    <x v="1"/>
    <n v="20000"/>
    <x v="5"/>
    <x v="2"/>
    <s v="Skilled Manual"/>
    <s v="No"/>
    <n v="2"/>
    <x v="3"/>
    <x v="1"/>
    <n v="60"/>
    <x v="1"/>
    <x v="0"/>
  </r>
  <r>
    <n v="21974"/>
    <x v="1"/>
    <x v="0"/>
    <n v="70000"/>
    <x v="3"/>
    <x v="0"/>
    <s v="Professional"/>
    <s v="Yes"/>
    <n v="1"/>
    <x v="2"/>
    <x v="1"/>
    <n v="42"/>
    <x v="0"/>
    <x v="1"/>
  </r>
  <r>
    <n v="14032"/>
    <x v="0"/>
    <x v="1"/>
    <n v="70000"/>
    <x v="4"/>
    <x v="2"/>
    <s v="Skilled Manual"/>
    <s v="No"/>
    <n v="2"/>
    <x v="3"/>
    <x v="1"/>
    <n v="50"/>
    <x v="0"/>
    <x v="1"/>
  </r>
  <r>
    <n v="22610"/>
    <x v="0"/>
    <x v="1"/>
    <n v="30000"/>
    <x v="3"/>
    <x v="0"/>
    <s v="Clerical"/>
    <s v="Yes"/>
    <n v="0"/>
    <x v="0"/>
    <x v="0"/>
    <n v="35"/>
    <x v="0"/>
    <x v="1"/>
  </r>
  <r>
    <n v="26984"/>
    <x v="0"/>
    <x v="1"/>
    <n v="40000"/>
    <x v="0"/>
    <x v="0"/>
    <s v="Skilled Manual"/>
    <s v="Yes"/>
    <n v="1"/>
    <x v="0"/>
    <x v="0"/>
    <n v="32"/>
    <x v="0"/>
    <x v="1"/>
  </r>
  <r>
    <n v="18294"/>
    <x v="0"/>
    <x v="0"/>
    <n v="90000"/>
    <x v="0"/>
    <x v="0"/>
    <s v="Professional"/>
    <s v="Yes"/>
    <n v="1"/>
    <x v="2"/>
    <x v="1"/>
    <n v="46"/>
    <x v="0"/>
    <x v="0"/>
  </r>
  <r>
    <n v="28564"/>
    <x v="1"/>
    <x v="0"/>
    <n v="40000"/>
    <x v="4"/>
    <x v="1"/>
    <s v="Clerical"/>
    <s v="Yes"/>
    <n v="0"/>
    <x v="3"/>
    <x v="0"/>
    <n v="33"/>
    <x v="0"/>
    <x v="1"/>
  </r>
  <r>
    <n v="28521"/>
    <x v="1"/>
    <x v="1"/>
    <n v="40000"/>
    <x v="3"/>
    <x v="4"/>
    <s v="Clerical"/>
    <s v="No"/>
    <n v="0"/>
    <x v="0"/>
    <x v="0"/>
    <n v="36"/>
    <x v="0"/>
    <x v="1"/>
  </r>
  <r>
    <n v="15450"/>
    <x v="0"/>
    <x v="1"/>
    <n v="10000"/>
    <x v="0"/>
    <x v="4"/>
    <s v="Clerical"/>
    <s v="Yes"/>
    <n v="0"/>
    <x v="0"/>
    <x v="0"/>
    <n v="70"/>
    <x v="1"/>
    <x v="0"/>
  </r>
  <r>
    <n v="25681"/>
    <x v="1"/>
    <x v="0"/>
    <n v="30000"/>
    <x v="3"/>
    <x v="1"/>
    <s v="Clerical"/>
    <s v="No"/>
    <n v="1"/>
    <x v="1"/>
    <x v="0"/>
    <n v="31"/>
    <x v="0"/>
    <x v="1"/>
  </r>
  <r>
    <n v="19491"/>
    <x v="1"/>
    <x v="1"/>
    <n v="30000"/>
    <x v="4"/>
    <x v="1"/>
    <s v="Clerical"/>
    <s v="Yes"/>
    <n v="2"/>
    <x v="0"/>
    <x v="0"/>
    <n v="42"/>
    <x v="0"/>
    <x v="0"/>
  </r>
  <r>
    <n v="26415"/>
    <x v="0"/>
    <x v="0"/>
    <n v="90000"/>
    <x v="5"/>
    <x v="3"/>
    <s v="Skilled Manual"/>
    <s v="Yes"/>
    <n v="4"/>
    <x v="4"/>
    <x v="0"/>
    <n v="58"/>
    <x v="1"/>
    <x v="0"/>
  </r>
  <r>
    <n v="12821"/>
    <x v="0"/>
    <x v="1"/>
    <n v="40000"/>
    <x v="3"/>
    <x v="0"/>
    <s v="Clerical"/>
    <s v="Yes"/>
    <n v="0"/>
    <x v="0"/>
    <x v="0"/>
    <n v="39"/>
    <x v="0"/>
    <x v="0"/>
  </r>
  <r>
    <n v="15629"/>
    <x v="1"/>
    <x v="0"/>
    <n v="10000"/>
    <x v="3"/>
    <x v="3"/>
    <s v="Manual"/>
    <s v="Yes"/>
    <n v="2"/>
    <x v="3"/>
    <x v="0"/>
    <n v="34"/>
    <x v="0"/>
    <x v="0"/>
  </r>
  <r>
    <n v="27835"/>
    <x v="0"/>
    <x v="1"/>
    <n v="20000"/>
    <x v="3"/>
    <x v="3"/>
    <s v="Manual"/>
    <s v="Yes"/>
    <n v="2"/>
    <x v="0"/>
    <x v="0"/>
    <n v="32"/>
    <x v="0"/>
    <x v="0"/>
  </r>
  <r>
    <n v="11738"/>
    <x v="0"/>
    <x v="1"/>
    <n v="60000"/>
    <x v="5"/>
    <x v="0"/>
    <s v="Professional"/>
    <s v="Yes"/>
    <n v="0"/>
    <x v="1"/>
    <x v="2"/>
    <n v="46"/>
    <x v="0"/>
    <x v="0"/>
  </r>
  <r>
    <n v="25065"/>
    <x v="0"/>
    <x v="1"/>
    <n v="70000"/>
    <x v="4"/>
    <x v="3"/>
    <s v="Skilled Manual"/>
    <s v="Yes"/>
    <n v="2"/>
    <x v="2"/>
    <x v="2"/>
    <n v="48"/>
    <x v="0"/>
    <x v="0"/>
  </r>
  <r>
    <n v="26238"/>
    <x v="1"/>
    <x v="0"/>
    <n v="40000"/>
    <x v="1"/>
    <x v="1"/>
    <s v="Clerical"/>
    <s v="Yes"/>
    <n v="1"/>
    <x v="3"/>
    <x v="2"/>
    <n v="31"/>
    <x v="0"/>
    <x v="1"/>
  </r>
  <r>
    <n v="23707"/>
    <x v="1"/>
    <x v="1"/>
    <n v="70000"/>
    <x v="2"/>
    <x v="0"/>
    <s v="Management"/>
    <s v="Yes"/>
    <n v="3"/>
    <x v="4"/>
    <x v="2"/>
    <n v="60"/>
    <x v="1"/>
    <x v="1"/>
  </r>
  <r>
    <n v="27650"/>
    <x v="0"/>
    <x v="1"/>
    <n v="70000"/>
    <x v="5"/>
    <x v="2"/>
    <s v="Professional"/>
    <s v="Yes"/>
    <n v="0"/>
    <x v="2"/>
    <x v="2"/>
    <n v="51"/>
    <x v="0"/>
    <x v="0"/>
  </r>
  <r>
    <n v="24981"/>
    <x v="0"/>
    <x v="1"/>
    <n v="60000"/>
    <x v="4"/>
    <x v="1"/>
    <s v="Professional"/>
    <s v="Yes"/>
    <n v="2"/>
    <x v="4"/>
    <x v="2"/>
    <n v="56"/>
    <x v="1"/>
    <x v="0"/>
  </r>
  <r>
    <n v="20678"/>
    <x v="1"/>
    <x v="0"/>
    <n v="60000"/>
    <x v="1"/>
    <x v="0"/>
    <s v="Skilled Manual"/>
    <s v="Yes"/>
    <n v="1"/>
    <x v="1"/>
    <x v="2"/>
    <n v="40"/>
    <x v="0"/>
    <x v="1"/>
  </r>
  <r>
    <n v="15302"/>
    <x v="1"/>
    <x v="0"/>
    <n v="70000"/>
    <x v="0"/>
    <x v="4"/>
    <s v="Professional"/>
    <s v="Yes"/>
    <n v="0"/>
    <x v="1"/>
    <x v="2"/>
    <n v="34"/>
    <x v="0"/>
    <x v="1"/>
  </r>
  <r>
    <n v="26012"/>
    <x v="0"/>
    <x v="1"/>
    <n v="80000"/>
    <x v="0"/>
    <x v="1"/>
    <s v="Skilled Manual"/>
    <s v="Yes"/>
    <n v="1"/>
    <x v="1"/>
    <x v="2"/>
    <n v="48"/>
    <x v="0"/>
    <x v="1"/>
  </r>
  <r>
    <n v="26575"/>
    <x v="1"/>
    <x v="0"/>
    <n v="40000"/>
    <x v="3"/>
    <x v="2"/>
    <s v="Skilled Manual"/>
    <s v="No"/>
    <n v="2"/>
    <x v="3"/>
    <x v="2"/>
    <n v="31"/>
    <x v="0"/>
    <x v="1"/>
  </r>
  <r>
    <n v="15559"/>
    <x v="0"/>
    <x v="1"/>
    <n v="60000"/>
    <x v="2"/>
    <x v="0"/>
    <s v="Professional"/>
    <s v="Yes"/>
    <n v="1"/>
    <x v="1"/>
    <x v="2"/>
    <n v="47"/>
    <x v="0"/>
    <x v="0"/>
  </r>
  <r>
    <n v="19235"/>
    <x v="0"/>
    <x v="0"/>
    <n v="50000"/>
    <x v="3"/>
    <x v="4"/>
    <s v="Skilled Manual"/>
    <s v="Yes"/>
    <n v="0"/>
    <x v="0"/>
    <x v="2"/>
    <n v="34"/>
    <x v="0"/>
    <x v="0"/>
  </r>
  <r>
    <n v="15275"/>
    <x v="0"/>
    <x v="1"/>
    <n v="40000"/>
    <x v="3"/>
    <x v="1"/>
    <s v="Skilled Manual"/>
    <s v="Yes"/>
    <n v="1"/>
    <x v="2"/>
    <x v="2"/>
    <n v="29"/>
    <x v="2"/>
    <x v="0"/>
  </r>
  <r>
    <n v="20339"/>
    <x v="0"/>
    <x v="0"/>
    <n v="130000"/>
    <x v="0"/>
    <x v="0"/>
    <s v="Management"/>
    <s v="Yes"/>
    <n v="4"/>
    <x v="1"/>
    <x v="2"/>
    <n v="44"/>
    <x v="0"/>
    <x v="1"/>
  </r>
  <r>
    <n v="25405"/>
    <x v="0"/>
    <x v="1"/>
    <n v="70000"/>
    <x v="4"/>
    <x v="0"/>
    <s v="Skilled Manual"/>
    <s v="Yes"/>
    <n v="1"/>
    <x v="1"/>
    <x v="2"/>
    <n v="38"/>
    <x v="0"/>
    <x v="1"/>
  </r>
  <r>
    <n v="15940"/>
    <x v="0"/>
    <x v="1"/>
    <n v="100000"/>
    <x v="5"/>
    <x v="1"/>
    <s v="Professional"/>
    <s v="Yes"/>
    <n v="4"/>
    <x v="0"/>
    <x v="2"/>
    <n v="40"/>
    <x v="0"/>
    <x v="0"/>
  </r>
  <r>
    <n v="25074"/>
    <x v="0"/>
    <x v="0"/>
    <n v="70000"/>
    <x v="5"/>
    <x v="0"/>
    <s v="Professional"/>
    <s v="Yes"/>
    <n v="2"/>
    <x v="1"/>
    <x v="2"/>
    <n v="42"/>
    <x v="0"/>
    <x v="1"/>
  </r>
  <r>
    <n v="24738"/>
    <x v="0"/>
    <x v="0"/>
    <n v="40000"/>
    <x v="0"/>
    <x v="1"/>
    <s v="Clerical"/>
    <s v="Yes"/>
    <n v="1"/>
    <x v="3"/>
    <x v="2"/>
    <n v="51"/>
    <x v="0"/>
    <x v="1"/>
  </r>
  <r>
    <n v="16337"/>
    <x v="0"/>
    <x v="1"/>
    <n v="60000"/>
    <x v="3"/>
    <x v="1"/>
    <s v="Skilled Manual"/>
    <s v="No"/>
    <n v="2"/>
    <x v="3"/>
    <x v="2"/>
    <n v="29"/>
    <x v="2"/>
    <x v="0"/>
  </r>
  <r>
    <n v="24357"/>
    <x v="0"/>
    <x v="1"/>
    <n v="80000"/>
    <x v="1"/>
    <x v="0"/>
    <s v="Professional"/>
    <s v="Yes"/>
    <n v="1"/>
    <x v="1"/>
    <x v="2"/>
    <n v="48"/>
    <x v="0"/>
    <x v="1"/>
  </r>
  <r>
    <n v="18613"/>
    <x v="1"/>
    <x v="1"/>
    <n v="70000"/>
    <x v="3"/>
    <x v="0"/>
    <s v="Professional"/>
    <s v="No"/>
    <n v="1"/>
    <x v="1"/>
    <x v="2"/>
    <n v="37"/>
    <x v="0"/>
    <x v="1"/>
  </r>
  <r>
    <n v="12207"/>
    <x v="1"/>
    <x v="1"/>
    <n v="80000"/>
    <x v="5"/>
    <x v="0"/>
    <s v="Management"/>
    <s v="Yes"/>
    <n v="0"/>
    <x v="2"/>
    <x v="2"/>
    <n v="66"/>
    <x v="1"/>
    <x v="1"/>
  </r>
  <r>
    <n v="18052"/>
    <x v="0"/>
    <x v="0"/>
    <n v="60000"/>
    <x v="0"/>
    <x v="1"/>
    <s v="Skilled Manual"/>
    <s v="Yes"/>
    <n v="1"/>
    <x v="0"/>
    <x v="2"/>
    <n v="45"/>
    <x v="0"/>
    <x v="1"/>
  </r>
  <r>
    <n v="13353"/>
    <x v="1"/>
    <x v="0"/>
    <n v="60000"/>
    <x v="5"/>
    <x v="4"/>
    <s v="Management"/>
    <s v="Yes"/>
    <n v="2"/>
    <x v="4"/>
    <x v="2"/>
    <n v="61"/>
    <x v="1"/>
    <x v="1"/>
  </r>
  <r>
    <n v="19399"/>
    <x v="1"/>
    <x v="1"/>
    <n v="40000"/>
    <x v="3"/>
    <x v="0"/>
    <s v="Professional"/>
    <s v="No"/>
    <n v="1"/>
    <x v="1"/>
    <x v="2"/>
    <n v="45"/>
    <x v="0"/>
    <x v="0"/>
  </r>
  <r>
    <n v="16154"/>
    <x v="0"/>
    <x v="0"/>
    <n v="70000"/>
    <x v="2"/>
    <x v="0"/>
    <s v="Professional"/>
    <s v="Yes"/>
    <n v="2"/>
    <x v="1"/>
    <x v="2"/>
    <n v="47"/>
    <x v="0"/>
    <x v="0"/>
  </r>
  <r>
    <n v="22219"/>
    <x v="0"/>
    <x v="0"/>
    <n v="60000"/>
    <x v="4"/>
    <x v="2"/>
    <s v="Professional"/>
    <s v="Yes"/>
    <n v="2"/>
    <x v="2"/>
    <x v="2"/>
    <n v="49"/>
    <x v="0"/>
    <x v="0"/>
  </r>
  <r>
    <n v="17269"/>
    <x v="1"/>
    <x v="1"/>
    <n v="60000"/>
    <x v="1"/>
    <x v="0"/>
    <s v="Professional"/>
    <s v="No"/>
    <n v="0"/>
    <x v="0"/>
    <x v="2"/>
    <n v="47"/>
    <x v="0"/>
    <x v="1"/>
  </r>
  <r>
    <n v="23586"/>
    <x v="0"/>
    <x v="0"/>
    <n v="80000"/>
    <x v="3"/>
    <x v="0"/>
    <s v="Management"/>
    <s v="Yes"/>
    <n v="1"/>
    <x v="3"/>
    <x v="2"/>
    <n v="34"/>
    <x v="0"/>
    <x v="1"/>
  </r>
  <r>
    <n v="15740"/>
    <x v="0"/>
    <x v="1"/>
    <n v="80000"/>
    <x v="2"/>
    <x v="0"/>
    <s v="Management"/>
    <s v="Yes"/>
    <n v="2"/>
    <x v="3"/>
    <x v="2"/>
    <n v="64"/>
    <x v="1"/>
    <x v="0"/>
  </r>
  <r>
    <n v="27638"/>
    <x v="1"/>
    <x v="1"/>
    <n v="100000"/>
    <x v="0"/>
    <x v="1"/>
    <s v="Professional"/>
    <s v="No"/>
    <n v="3"/>
    <x v="3"/>
    <x v="2"/>
    <n v="44"/>
    <x v="0"/>
    <x v="0"/>
  </r>
  <r>
    <n v="18976"/>
    <x v="1"/>
    <x v="1"/>
    <n v="40000"/>
    <x v="5"/>
    <x v="2"/>
    <s v="Professional"/>
    <s v="Yes"/>
    <n v="2"/>
    <x v="4"/>
    <x v="2"/>
    <n v="62"/>
    <x v="1"/>
    <x v="1"/>
  </r>
  <r>
    <n v="19413"/>
    <x v="1"/>
    <x v="1"/>
    <n v="60000"/>
    <x v="1"/>
    <x v="0"/>
    <s v="Professional"/>
    <s v="No"/>
    <n v="1"/>
    <x v="0"/>
    <x v="2"/>
    <n v="47"/>
    <x v="0"/>
    <x v="1"/>
  </r>
  <r>
    <n v="13283"/>
    <x v="0"/>
    <x v="1"/>
    <n v="80000"/>
    <x v="1"/>
    <x v="1"/>
    <s v="Professional"/>
    <s v="No"/>
    <n v="2"/>
    <x v="0"/>
    <x v="2"/>
    <n v="49"/>
    <x v="0"/>
    <x v="1"/>
  </r>
  <r>
    <n v="17471"/>
    <x v="1"/>
    <x v="0"/>
    <n v="80000"/>
    <x v="5"/>
    <x v="4"/>
    <s v="Management"/>
    <s v="Yes"/>
    <n v="2"/>
    <x v="2"/>
    <x v="2"/>
    <n v="67"/>
    <x v="1"/>
    <x v="0"/>
  </r>
  <r>
    <n v="16791"/>
    <x v="1"/>
    <x v="1"/>
    <n v="60000"/>
    <x v="2"/>
    <x v="0"/>
    <s v="Management"/>
    <s v="Yes"/>
    <n v="3"/>
    <x v="4"/>
    <x v="2"/>
    <n v="59"/>
    <x v="1"/>
    <x v="1"/>
  </r>
  <r>
    <n v="15382"/>
    <x v="0"/>
    <x v="0"/>
    <n v="110000"/>
    <x v="0"/>
    <x v="0"/>
    <s v="Management"/>
    <s v="Yes"/>
    <n v="2"/>
    <x v="3"/>
    <x v="2"/>
    <n v="44"/>
    <x v="0"/>
    <x v="0"/>
  </r>
  <r>
    <n v="11641"/>
    <x v="0"/>
    <x v="1"/>
    <n v="50000"/>
    <x v="0"/>
    <x v="0"/>
    <s v="Skilled Manual"/>
    <s v="Yes"/>
    <n v="0"/>
    <x v="0"/>
    <x v="2"/>
    <n v="36"/>
    <x v="0"/>
    <x v="0"/>
  </r>
  <r>
    <n v="11935"/>
    <x v="1"/>
    <x v="0"/>
    <n v="30000"/>
    <x v="3"/>
    <x v="1"/>
    <s v="Skilled Manual"/>
    <s v="Yes"/>
    <n v="1"/>
    <x v="2"/>
    <x v="2"/>
    <n v="28"/>
    <x v="2"/>
    <x v="0"/>
  </r>
  <r>
    <n v="13233"/>
    <x v="0"/>
    <x v="1"/>
    <n v="60000"/>
    <x v="4"/>
    <x v="1"/>
    <s v="Professional"/>
    <s v="Yes"/>
    <n v="1"/>
    <x v="4"/>
    <x v="2"/>
    <n v="57"/>
    <x v="1"/>
    <x v="1"/>
  </r>
  <r>
    <n v="25909"/>
    <x v="0"/>
    <x v="1"/>
    <n v="60000"/>
    <x v="3"/>
    <x v="1"/>
    <s v="Skilled Manual"/>
    <s v="Yes"/>
    <n v="1"/>
    <x v="2"/>
    <x v="2"/>
    <n v="27"/>
    <x v="2"/>
    <x v="1"/>
  </r>
  <r>
    <n v="14092"/>
    <x v="1"/>
    <x v="1"/>
    <n v="30000"/>
    <x v="3"/>
    <x v="3"/>
    <s v="Clerical"/>
    <s v="Yes"/>
    <n v="2"/>
    <x v="2"/>
    <x v="2"/>
    <n v="28"/>
    <x v="2"/>
    <x v="0"/>
  </r>
  <r>
    <n v="29143"/>
    <x v="1"/>
    <x v="0"/>
    <n v="60000"/>
    <x v="0"/>
    <x v="0"/>
    <s v="Professional"/>
    <s v="No"/>
    <n v="1"/>
    <x v="0"/>
    <x v="2"/>
    <n v="44"/>
    <x v="0"/>
    <x v="1"/>
  </r>
  <r>
    <n v="24941"/>
    <x v="0"/>
    <x v="1"/>
    <n v="60000"/>
    <x v="1"/>
    <x v="0"/>
    <s v="Management"/>
    <s v="Yes"/>
    <n v="2"/>
    <x v="4"/>
    <x v="2"/>
    <n v="66"/>
    <x v="1"/>
    <x v="0"/>
  </r>
  <r>
    <n v="24637"/>
    <x v="0"/>
    <x v="1"/>
    <n v="40000"/>
    <x v="5"/>
    <x v="2"/>
    <s v="Professional"/>
    <s v="Yes"/>
    <n v="2"/>
    <x v="4"/>
    <x v="2"/>
    <n v="64"/>
    <x v="1"/>
    <x v="0"/>
  </r>
  <r>
    <n v="23893"/>
    <x v="0"/>
    <x v="1"/>
    <n v="50000"/>
    <x v="1"/>
    <x v="0"/>
    <s v="Skilled Manual"/>
    <s v="Yes"/>
    <n v="3"/>
    <x v="4"/>
    <x v="2"/>
    <n v="41"/>
    <x v="0"/>
    <x v="0"/>
  </r>
  <r>
    <n v="13907"/>
    <x v="1"/>
    <x v="0"/>
    <n v="80000"/>
    <x v="1"/>
    <x v="0"/>
    <s v="Skilled Manual"/>
    <s v="Yes"/>
    <n v="1"/>
    <x v="0"/>
    <x v="2"/>
    <n v="41"/>
    <x v="0"/>
    <x v="1"/>
  </r>
  <r>
    <n v="14900"/>
    <x v="0"/>
    <x v="0"/>
    <n v="40000"/>
    <x v="0"/>
    <x v="1"/>
    <s v="Clerical"/>
    <s v="Yes"/>
    <n v="1"/>
    <x v="3"/>
    <x v="2"/>
    <n v="49"/>
    <x v="0"/>
    <x v="1"/>
  </r>
  <r>
    <n v="11262"/>
    <x v="0"/>
    <x v="0"/>
    <n v="80000"/>
    <x v="5"/>
    <x v="0"/>
    <s v="Management"/>
    <s v="Yes"/>
    <n v="0"/>
    <x v="0"/>
    <x v="2"/>
    <n v="42"/>
    <x v="0"/>
    <x v="0"/>
  </r>
  <r>
    <n v="22294"/>
    <x v="1"/>
    <x v="0"/>
    <n v="70000"/>
    <x v="3"/>
    <x v="0"/>
    <s v="Professional"/>
    <s v="No"/>
    <n v="1"/>
    <x v="1"/>
    <x v="2"/>
    <n v="37"/>
    <x v="0"/>
    <x v="1"/>
  </r>
  <r>
    <n v="12195"/>
    <x v="1"/>
    <x v="0"/>
    <n v="70000"/>
    <x v="1"/>
    <x v="4"/>
    <s v="Management"/>
    <s v="Yes"/>
    <n v="2"/>
    <x v="3"/>
    <x v="2"/>
    <n v="52"/>
    <x v="0"/>
    <x v="0"/>
  </r>
  <r>
    <n v="25375"/>
    <x v="0"/>
    <x v="1"/>
    <n v="50000"/>
    <x v="0"/>
    <x v="4"/>
    <s v="Skilled Manual"/>
    <s v="Yes"/>
    <n v="0"/>
    <x v="3"/>
    <x v="2"/>
    <n v="34"/>
    <x v="0"/>
    <x v="0"/>
  </r>
  <r>
    <n v="11143"/>
    <x v="0"/>
    <x v="1"/>
    <n v="40000"/>
    <x v="3"/>
    <x v="2"/>
    <s v="Skilled Manual"/>
    <s v="Yes"/>
    <n v="2"/>
    <x v="2"/>
    <x v="2"/>
    <n v="29"/>
    <x v="2"/>
    <x v="0"/>
  </r>
  <r>
    <n v="25898"/>
    <x v="0"/>
    <x v="0"/>
    <n v="70000"/>
    <x v="4"/>
    <x v="2"/>
    <s v="Professional"/>
    <s v="Yes"/>
    <n v="2"/>
    <x v="1"/>
    <x v="2"/>
    <n v="53"/>
    <x v="0"/>
    <x v="0"/>
  </r>
  <r>
    <n v="24397"/>
    <x v="1"/>
    <x v="1"/>
    <n v="120000"/>
    <x v="4"/>
    <x v="0"/>
    <s v="Management"/>
    <s v="No"/>
    <n v="4"/>
    <x v="3"/>
    <x v="2"/>
    <n v="40"/>
    <x v="0"/>
    <x v="0"/>
  </r>
  <r>
    <n v="19758"/>
    <x v="1"/>
    <x v="1"/>
    <n v="60000"/>
    <x v="3"/>
    <x v="1"/>
    <s v="Skilled Manual"/>
    <s v="No"/>
    <n v="2"/>
    <x v="3"/>
    <x v="2"/>
    <n v="29"/>
    <x v="2"/>
    <x v="0"/>
  </r>
  <r>
    <n v="15529"/>
    <x v="0"/>
    <x v="1"/>
    <n v="60000"/>
    <x v="5"/>
    <x v="0"/>
    <s v="Professional"/>
    <s v="Yes"/>
    <n v="2"/>
    <x v="1"/>
    <x v="2"/>
    <n v="43"/>
    <x v="0"/>
    <x v="1"/>
  </r>
  <r>
    <n v="19884"/>
    <x v="0"/>
    <x v="1"/>
    <n v="60000"/>
    <x v="4"/>
    <x v="2"/>
    <s v="Professional"/>
    <s v="Yes"/>
    <n v="2"/>
    <x v="1"/>
    <x v="2"/>
    <n v="55"/>
    <x v="1"/>
    <x v="1"/>
  </r>
  <r>
    <n v="18674"/>
    <x v="1"/>
    <x v="0"/>
    <n v="80000"/>
    <x v="5"/>
    <x v="4"/>
    <s v="Skilled Manual"/>
    <s v="No"/>
    <n v="0"/>
    <x v="0"/>
    <x v="2"/>
    <n v="48"/>
    <x v="0"/>
    <x v="0"/>
  </r>
  <r>
    <n v="13453"/>
    <x v="0"/>
    <x v="0"/>
    <n v="130000"/>
    <x v="1"/>
    <x v="0"/>
    <s v="Management"/>
    <s v="Yes"/>
    <n v="3"/>
    <x v="0"/>
    <x v="2"/>
    <n v="45"/>
    <x v="0"/>
    <x v="1"/>
  </r>
  <r>
    <n v="14063"/>
    <x v="1"/>
    <x v="0"/>
    <n v="70000"/>
    <x v="3"/>
    <x v="0"/>
    <s v="Professional"/>
    <s v="No"/>
    <n v="1"/>
    <x v="0"/>
    <x v="1"/>
    <n v="42"/>
    <x v="0"/>
    <x v="1"/>
  </r>
  <r>
    <n v="27393"/>
    <x v="0"/>
    <x v="0"/>
    <n v="50000"/>
    <x v="5"/>
    <x v="0"/>
    <s v="Management"/>
    <s v="Yes"/>
    <n v="2"/>
    <x v="4"/>
    <x v="2"/>
    <n v="63"/>
    <x v="1"/>
    <x v="0"/>
  </r>
  <r>
    <n v="14417"/>
    <x v="1"/>
    <x v="1"/>
    <n v="60000"/>
    <x v="1"/>
    <x v="2"/>
    <s v="Professional"/>
    <s v="Yes"/>
    <n v="2"/>
    <x v="4"/>
    <x v="2"/>
    <n v="54"/>
    <x v="0"/>
    <x v="1"/>
  </r>
  <r>
    <n v="17533"/>
    <x v="0"/>
    <x v="1"/>
    <n v="40000"/>
    <x v="1"/>
    <x v="1"/>
    <s v="Professional"/>
    <s v="No"/>
    <n v="2"/>
    <x v="2"/>
    <x v="2"/>
    <n v="73"/>
    <x v="1"/>
    <x v="1"/>
  </r>
  <r>
    <n v="18580"/>
    <x v="0"/>
    <x v="0"/>
    <n v="60000"/>
    <x v="4"/>
    <x v="4"/>
    <s v="Professional"/>
    <s v="Yes"/>
    <n v="0"/>
    <x v="1"/>
    <x v="2"/>
    <n v="40"/>
    <x v="0"/>
    <x v="1"/>
  </r>
  <r>
    <n v="17025"/>
    <x v="1"/>
    <x v="1"/>
    <n v="50000"/>
    <x v="3"/>
    <x v="1"/>
    <s v="Skilled Manual"/>
    <s v="No"/>
    <n v="1"/>
    <x v="1"/>
    <x v="2"/>
    <n v="39"/>
    <x v="0"/>
    <x v="1"/>
  </r>
  <r>
    <n v="25293"/>
    <x v="0"/>
    <x v="1"/>
    <n v="80000"/>
    <x v="5"/>
    <x v="0"/>
    <s v="Management"/>
    <s v="Yes"/>
    <n v="0"/>
    <x v="3"/>
    <x v="2"/>
    <n v="42"/>
    <x v="0"/>
    <x v="0"/>
  </r>
  <r>
    <n v="24725"/>
    <x v="0"/>
    <x v="0"/>
    <n v="40000"/>
    <x v="1"/>
    <x v="1"/>
    <s v="Clerical"/>
    <s v="Yes"/>
    <n v="0"/>
    <x v="3"/>
    <x v="2"/>
    <n v="31"/>
    <x v="0"/>
    <x v="0"/>
  </r>
  <r>
    <n v="23200"/>
    <x v="0"/>
    <x v="0"/>
    <n v="50000"/>
    <x v="1"/>
    <x v="0"/>
    <s v="Skilled Manual"/>
    <s v="Yes"/>
    <n v="2"/>
    <x v="0"/>
    <x v="2"/>
    <n v="41"/>
    <x v="0"/>
    <x v="0"/>
  </r>
  <r>
    <n v="15895"/>
    <x v="1"/>
    <x v="0"/>
    <n v="60000"/>
    <x v="4"/>
    <x v="0"/>
    <s v="Management"/>
    <s v="Yes"/>
    <n v="0"/>
    <x v="4"/>
    <x v="2"/>
    <n v="58"/>
    <x v="1"/>
    <x v="0"/>
  </r>
  <r>
    <n v="18577"/>
    <x v="0"/>
    <x v="0"/>
    <n v="60000"/>
    <x v="3"/>
    <x v="4"/>
    <s v="Professional"/>
    <s v="Yes"/>
    <n v="0"/>
    <x v="0"/>
    <x v="2"/>
    <n v="40"/>
    <x v="0"/>
    <x v="0"/>
  </r>
  <r>
    <n v="27218"/>
    <x v="0"/>
    <x v="0"/>
    <n v="20000"/>
    <x v="4"/>
    <x v="3"/>
    <s v="Clerical"/>
    <s v="No"/>
    <n v="0"/>
    <x v="0"/>
    <x v="2"/>
    <n v="48"/>
    <x v="0"/>
    <x v="0"/>
  </r>
  <r>
    <n v="18560"/>
    <x v="0"/>
    <x v="0"/>
    <n v="70000"/>
    <x v="4"/>
    <x v="4"/>
    <s v="Professional"/>
    <s v="Yes"/>
    <n v="0"/>
    <x v="1"/>
    <x v="2"/>
    <n v="34"/>
    <x v="0"/>
    <x v="1"/>
  </r>
  <r>
    <n v="25006"/>
    <x v="1"/>
    <x v="0"/>
    <n v="30000"/>
    <x v="3"/>
    <x v="1"/>
    <s v="Skilled Manual"/>
    <s v="Yes"/>
    <n v="1"/>
    <x v="2"/>
    <x v="2"/>
    <n v="28"/>
    <x v="2"/>
    <x v="0"/>
  </r>
  <r>
    <n v="17369"/>
    <x v="1"/>
    <x v="1"/>
    <n v="30000"/>
    <x v="3"/>
    <x v="1"/>
    <s v="Skilled Manual"/>
    <s v="Yes"/>
    <n v="1"/>
    <x v="2"/>
    <x v="2"/>
    <n v="27"/>
    <x v="2"/>
    <x v="0"/>
  </r>
  <r>
    <n v="14495"/>
    <x v="0"/>
    <x v="1"/>
    <n v="40000"/>
    <x v="1"/>
    <x v="1"/>
    <s v="Professional"/>
    <s v="No"/>
    <n v="2"/>
    <x v="2"/>
    <x v="2"/>
    <n v="54"/>
    <x v="0"/>
    <x v="1"/>
  </r>
  <r>
    <n v="18847"/>
    <x v="0"/>
    <x v="0"/>
    <n v="60000"/>
    <x v="4"/>
    <x v="4"/>
    <s v="Management"/>
    <s v="Yes"/>
    <n v="2"/>
    <x v="2"/>
    <x v="2"/>
    <n v="70"/>
    <x v="1"/>
    <x v="0"/>
  </r>
  <r>
    <n v="14754"/>
    <x v="0"/>
    <x v="1"/>
    <n v="40000"/>
    <x v="0"/>
    <x v="1"/>
    <s v="Clerical"/>
    <s v="Yes"/>
    <n v="1"/>
    <x v="3"/>
    <x v="2"/>
    <n v="48"/>
    <x v="0"/>
    <x v="1"/>
  </r>
  <r>
    <n v="23378"/>
    <x v="0"/>
    <x v="1"/>
    <n v="70000"/>
    <x v="0"/>
    <x v="1"/>
    <s v="Skilled Manual"/>
    <s v="Yes"/>
    <n v="1"/>
    <x v="1"/>
    <x v="2"/>
    <n v="44"/>
    <x v="0"/>
    <x v="1"/>
  </r>
  <r>
    <n v="26452"/>
    <x v="1"/>
    <x v="1"/>
    <n v="50000"/>
    <x v="1"/>
    <x v="4"/>
    <s v="Management"/>
    <s v="Yes"/>
    <n v="2"/>
    <x v="4"/>
    <x v="2"/>
    <n v="69"/>
    <x v="1"/>
    <x v="0"/>
  </r>
  <r>
    <n v="20370"/>
    <x v="0"/>
    <x v="1"/>
    <n v="70000"/>
    <x v="1"/>
    <x v="3"/>
    <s v="Skilled Manual"/>
    <s v="Yes"/>
    <n v="2"/>
    <x v="2"/>
    <x v="2"/>
    <n v="52"/>
    <x v="0"/>
    <x v="0"/>
  </r>
  <r>
    <n v="20528"/>
    <x v="0"/>
    <x v="1"/>
    <n v="40000"/>
    <x v="4"/>
    <x v="3"/>
    <s v="Skilled Manual"/>
    <s v="Yes"/>
    <n v="2"/>
    <x v="1"/>
    <x v="2"/>
    <n v="55"/>
    <x v="1"/>
    <x v="0"/>
  </r>
  <r>
    <n v="23549"/>
    <x v="1"/>
    <x v="1"/>
    <n v="30000"/>
    <x v="3"/>
    <x v="2"/>
    <s v="Skilled Manual"/>
    <s v="Yes"/>
    <n v="2"/>
    <x v="2"/>
    <x v="2"/>
    <n v="30"/>
    <x v="2"/>
    <x v="0"/>
  </r>
  <r>
    <n v="21751"/>
    <x v="0"/>
    <x v="1"/>
    <n v="60000"/>
    <x v="1"/>
    <x v="4"/>
    <s v="Management"/>
    <s v="Yes"/>
    <n v="2"/>
    <x v="3"/>
    <x v="2"/>
    <n v="63"/>
    <x v="1"/>
    <x v="0"/>
  </r>
  <r>
    <n v="21266"/>
    <x v="1"/>
    <x v="0"/>
    <n v="80000"/>
    <x v="3"/>
    <x v="0"/>
    <s v="Management"/>
    <s v="Yes"/>
    <n v="1"/>
    <x v="3"/>
    <x v="2"/>
    <n v="34"/>
    <x v="0"/>
    <x v="1"/>
  </r>
  <r>
    <n v="13388"/>
    <x v="1"/>
    <x v="1"/>
    <n v="60000"/>
    <x v="4"/>
    <x v="1"/>
    <s v="Professional"/>
    <s v="Yes"/>
    <n v="1"/>
    <x v="4"/>
    <x v="2"/>
    <n v="56"/>
    <x v="1"/>
    <x v="0"/>
  </r>
  <r>
    <n v="18752"/>
    <x v="1"/>
    <x v="0"/>
    <n v="40000"/>
    <x v="3"/>
    <x v="2"/>
    <s v="Skilled Manual"/>
    <s v="Yes"/>
    <n v="1"/>
    <x v="2"/>
    <x v="2"/>
    <n v="31"/>
    <x v="0"/>
    <x v="0"/>
  </r>
  <r>
    <n v="16917"/>
    <x v="0"/>
    <x v="1"/>
    <n v="120000"/>
    <x v="0"/>
    <x v="0"/>
    <s v="Management"/>
    <s v="Yes"/>
    <n v="4"/>
    <x v="0"/>
    <x v="2"/>
    <n v="38"/>
    <x v="0"/>
    <x v="0"/>
  </r>
  <r>
    <n v="15313"/>
    <x v="0"/>
    <x v="1"/>
    <n v="60000"/>
    <x v="5"/>
    <x v="0"/>
    <s v="Management"/>
    <s v="Yes"/>
    <n v="2"/>
    <x v="1"/>
    <x v="2"/>
    <n v="59"/>
    <x v="1"/>
    <x v="0"/>
  </r>
  <r>
    <n v="25329"/>
    <x v="1"/>
    <x v="0"/>
    <n v="40000"/>
    <x v="1"/>
    <x v="1"/>
    <s v="Clerical"/>
    <s v="No"/>
    <n v="2"/>
    <x v="0"/>
    <x v="2"/>
    <n v="32"/>
    <x v="0"/>
    <x v="0"/>
  </r>
  <r>
    <n v="20380"/>
    <x v="0"/>
    <x v="0"/>
    <n v="60000"/>
    <x v="1"/>
    <x v="4"/>
    <s v="Management"/>
    <s v="Yes"/>
    <n v="2"/>
    <x v="4"/>
    <x v="2"/>
    <n v="69"/>
    <x v="1"/>
    <x v="0"/>
  </r>
  <r>
    <n v="23089"/>
    <x v="0"/>
    <x v="1"/>
    <n v="40000"/>
    <x v="3"/>
    <x v="1"/>
    <s v="Skilled Manual"/>
    <s v="Yes"/>
    <n v="1"/>
    <x v="2"/>
    <x v="2"/>
    <n v="28"/>
    <x v="2"/>
    <x v="0"/>
  </r>
  <r>
    <n v="13749"/>
    <x v="0"/>
    <x v="1"/>
    <n v="80000"/>
    <x v="5"/>
    <x v="4"/>
    <s v="Skilled Manual"/>
    <s v="Yes"/>
    <n v="0"/>
    <x v="3"/>
    <x v="2"/>
    <n v="47"/>
    <x v="0"/>
    <x v="0"/>
  </r>
  <r>
    <n v="24943"/>
    <x v="0"/>
    <x v="1"/>
    <n v="60000"/>
    <x v="1"/>
    <x v="0"/>
    <s v="Management"/>
    <s v="Yes"/>
    <n v="2"/>
    <x v="4"/>
    <x v="2"/>
    <n v="66"/>
    <x v="1"/>
    <x v="0"/>
  </r>
  <r>
    <n v="28667"/>
    <x v="1"/>
    <x v="1"/>
    <n v="70000"/>
    <x v="4"/>
    <x v="0"/>
    <s v="Skilled Manual"/>
    <s v="No"/>
    <n v="1"/>
    <x v="0"/>
    <x v="2"/>
    <n v="37"/>
    <x v="0"/>
    <x v="1"/>
  </r>
  <r>
    <n v="15194"/>
    <x v="1"/>
    <x v="1"/>
    <n v="120000"/>
    <x v="4"/>
    <x v="0"/>
    <s v="Management"/>
    <s v="No"/>
    <n v="3"/>
    <x v="0"/>
    <x v="2"/>
    <n v="39"/>
    <x v="0"/>
    <x v="1"/>
  </r>
  <r>
    <n v="17436"/>
    <x v="0"/>
    <x v="1"/>
    <n v="60000"/>
    <x v="4"/>
    <x v="2"/>
    <s v="Professional"/>
    <s v="No"/>
    <n v="2"/>
    <x v="3"/>
    <x v="2"/>
    <n v="51"/>
    <x v="0"/>
    <x v="0"/>
  </r>
  <r>
    <n v="18935"/>
    <x v="0"/>
    <x v="0"/>
    <n v="130000"/>
    <x v="3"/>
    <x v="4"/>
    <s v="Management"/>
    <s v="Yes"/>
    <n v="3"/>
    <x v="3"/>
    <x v="2"/>
    <n v="40"/>
    <x v="0"/>
    <x v="0"/>
  </r>
  <r>
    <n v="16871"/>
    <x v="0"/>
    <x v="0"/>
    <n v="90000"/>
    <x v="4"/>
    <x v="2"/>
    <s v="Professional"/>
    <s v="Yes"/>
    <n v="1"/>
    <x v="4"/>
    <x v="2"/>
    <n v="51"/>
    <x v="0"/>
    <x v="1"/>
  </r>
  <r>
    <n v="12100"/>
    <x v="1"/>
    <x v="1"/>
    <n v="60000"/>
    <x v="4"/>
    <x v="0"/>
    <s v="Management"/>
    <s v="Yes"/>
    <n v="0"/>
    <x v="4"/>
    <x v="2"/>
    <n v="57"/>
    <x v="1"/>
    <x v="0"/>
  </r>
  <r>
    <n v="23158"/>
    <x v="0"/>
    <x v="0"/>
    <n v="60000"/>
    <x v="0"/>
    <x v="4"/>
    <s v="Professional"/>
    <s v="No"/>
    <n v="0"/>
    <x v="0"/>
    <x v="2"/>
    <n v="35"/>
    <x v="0"/>
    <x v="1"/>
  </r>
  <r>
    <n v="18545"/>
    <x v="0"/>
    <x v="1"/>
    <n v="40000"/>
    <x v="5"/>
    <x v="2"/>
    <s v="Professional"/>
    <s v="No"/>
    <n v="2"/>
    <x v="4"/>
    <x v="2"/>
    <n v="61"/>
    <x v="1"/>
    <x v="1"/>
  </r>
  <r>
    <n v="18391"/>
    <x v="1"/>
    <x v="0"/>
    <n v="80000"/>
    <x v="2"/>
    <x v="1"/>
    <s v="Professional"/>
    <s v="Yes"/>
    <n v="2"/>
    <x v="2"/>
    <x v="2"/>
    <n v="44"/>
    <x v="0"/>
    <x v="0"/>
  </r>
  <r>
    <n v="19812"/>
    <x v="1"/>
    <x v="0"/>
    <n v="70000"/>
    <x v="4"/>
    <x v="1"/>
    <s v="Professional"/>
    <s v="Yes"/>
    <n v="0"/>
    <x v="2"/>
    <x v="2"/>
    <n v="49"/>
    <x v="0"/>
    <x v="1"/>
  </r>
  <r>
    <n v="27660"/>
    <x v="0"/>
    <x v="1"/>
    <n v="80000"/>
    <x v="5"/>
    <x v="4"/>
    <s v="Management"/>
    <s v="Yes"/>
    <n v="2"/>
    <x v="2"/>
    <x v="2"/>
    <n v="70"/>
    <x v="1"/>
    <x v="0"/>
  </r>
  <r>
    <n v="18058"/>
    <x v="1"/>
    <x v="0"/>
    <n v="20000"/>
    <x v="1"/>
    <x v="2"/>
    <s v="Skilled Manual"/>
    <s v="Yes"/>
    <n v="2"/>
    <x v="1"/>
    <x v="2"/>
    <n v="78"/>
    <x v="1"/>
    <x v="0"/>
  </r>
  <r>
    <n v="20343"/>
    <x v="0"/>
    <x v="0"/>
    <n v="90000"/>
    <x v="5"/>
    <x v="1"/>
    <s v="Professional"/>
    <s v="Yes"/>
    <n v="1"/>
    <x v="3"/>
    <x v="2"/>
    <n v="45"/>
    <x v="0"/>
    <x v="0"/>
  </r>
  <r>
    <n v="28997"/>
    <x v="1"/>
    <x v="1"/>
    <n v="40000"/>
    <x v="4"/>
    <x v="2"/>
    <s v="Professional"/>
    <s v="No"/>
    <n v="1"/>
    <x v="1"/>
    <x v="2"/>
    <n v="58"/>
    <x v="1"/>
    <x v="1"/>
  </r>
  <r>
    <n v="24398"/>
    <x v="0"/>
    <x v="1"/>
    <n v="130000"/>
    <x v="0"/>
    <x v="4"/>
    <s v="Management"/>
    <s v="Yes"/>
    <n v="4"/>
    <x v="0"/>
    <x v="2"/>
    <n v="41"/>
    <x v="0"/>
    <x v="0"/>
  </r>
  <r>
    <n v="19002"/>
    <x v="0"/>
    <x v="0"/>
    <n v="60000"/>
    <x v="4"/>
    <x v="1"/>
    <s v="Professional"/>
    <s v="Yes"/>
    <n v="1"/>
    <x v="1"/>
    <x v="2"/>
    <n v="57"/>
    <x v="1"/>
    <x v="1"/>
  </r>
  <r>
    <n v="28609"/>
    <x v="0"/>
    <x v="1"/>
    <n v="30000"/>
    <x v="4"/>
    <x v="2"/>
    <s v="Skilled Manual"/>
    <s v="No"/>
    <n v="2"/>
    <x v="0"/>
    <x v="2"/>
    <n v="49"/>
    <x v="0"/>
    <x v="0"/>
  </r>
  <r>
    <n v="29231"/>
    <x v="1"/>
    <x v="1"/>
    <n v="80000"/>
    <x v="5"/>
    <x v="1"/>
    <s v="Professional"/>
    <s v="No"/>
    <n v="2"/>
    <x v="0"/>
    <x v="2"/>
    <n v="43"/>
    <x v="0"/>
    <x v="0"/>
  </r>
  <r>
    <n v="18858"/>
    <x v="1"/>
    <x v="1"/>
    <n v="60000"/>
    <x v="4"/>
    <x v="3"/>
    <s v="Skilled Manual"/>
    <s v="Yes"/>
    <n v="2"/>
    <x v="2"/>
    <x v="2"/>
    <n v="52"/>
    <x v="0"/>
    <x v="1"/>
  </r>
  <r>
    <n v="20000"/>
    <x v="0"/>
    <x v="1"/>
    <n v="60000"/>
    <x v="0"/>
    <x v="4"/>
    <s v="Professional"/>
    <s v="Yes"/>
    <n v="0"/>
    <x v="0"/>
    <x v="2"/>
    <n v="35"/>
    <x v="0"/>
    <x v="1"/>
  </r>
  <r>
    <n v="25261"/>
    <x v="0"/>
    <x v="1"/>
    <n v="40000"/>
    <x v="3"/>
    <x v="2"/>
    <s v="Skilled Manual"/>
    <s v="Yes"/>
    <n v="2"/>
    <x v="2"/>
    <x v="2"/>
    <n v="27"/>
    <x v="2"/>
    <x v="0"/>
  </r>
  <r>
    <n v="17458"/>
    <x v="1"/>
    <x v="1"/>
    <n v="70000"/>
    <x v="1"/>
    <x v="2"/>
    <s v="Professional"/>
    <s v="Yes"/>
    <n v="0"/>
    <x v="2"/>
    <x v="2"/>
    <n v="52"/>
    <x v="0"/>
    <x v="1"/>
  </r>
  <r>
    <n v="11644"/>
    <x v="1"/>
    <x v="1"/>
    <n v="40000"/>
    <x v="4"/>
    <x v="0"/>
    <s v="Skilled Manual"/>
    <s v="Yes"/>
    <n v="0"/>
    <x v="1"/>
    <x v="2"/>
    <n v="36"/>
    <x v="0"/>
    <x v="0"/>
  </r>
  <r>
    <n v="16145"/>
    <x v="1"/>
    <x v="0"/>
    <n v="70000"/>
    <x v="2"/>
    <x v="4"/>
    <s v="Professional"/>
    <s v="Yes"/>
    <n v="3"/>
    <x v="4"/>
    <x v="2"/>
    <n v="46"/>
    <x v="0"/>
    <x v="1"/>
  </r>
  <r>
    <n v="16890"/>
    <x v="0"/>
    <x v="1"/>
    <n v="60000"/>
    <x v="1"/>
    <x v="3"/>
    <s v="Skilled Manual"/>
    <s v="Yes"/>
    <n v="2"/>
    <x v="2"/>
    <x v="2"/>
    <n v="52"/>
    <x v="0"/>
    <x v="1"/>
  </r>
  <r>
    <n v="25983"/>
    <x v="0"/>
    <x v="1"/>
    <n v="70000"/>
    <x v="3"/>
    <x v="0"/>
    <s v="Professional"/>
    <s v="No"/>
    <n v="1"/>
    <x v="0"/>
    <x v="2"/>
    <n v="43"/>
    <x v="0"/>
    <x v="0"/>
  </r>
  <r>
    <n v="14633"/>
    <x v="0"/>
    <x v="1"/>
    <n v="60000"/>
    <x v="0"/>
    <x v="1"/>
    <s v="Skilled Manual"/>
    <s v="Yes"/>
    <n v="1"/>
    <x v="1"/>
    <x v="2"/>
    <n v="44"/>
    <x v="0"/>
    <x v="0"/>
  </r>
  <r>
    <n v="22994"/>
    <x v="0"/>
    <x v="0"/>
    <n v="80000"/>
    <x v="3"/>
    <x v="0"/>
    <s v="Management"/>
    <s v="Yes"/>
    <n v="1"/>
    <x v="3"/>
    <x v="2"/>
    <n v="34"/>
    <x v="0"/>
    <x v="1"/>
  </r>
  <r>
    <n v="22983"/>
    <x v="1"/>
    <x v="0"/>
    <n v="30000"/>
    <x v="3"/>
    <x v="3"/>
    <s v="Clerical"/>
    <s v="Yes"/>
    <n v="2"/>
    <x v="2"/>
    <x v="2"/>
    <n v="27"/>
    <x v="2"/>
    <x v="0"/>
  </r>
  <r>
    <n v="25184"/>
    <x v="1"/>
    <x v="1"/>
    <n v="110000"/>
    <x v="0"/>
    <x v="1"/>
    <s v="Professional"/>
    <s v="Yes"/>
    <n v="4"/>
    <x v="2"/>
    <x v="2"/>
    <n v="45"/>
    <x v="0"/>
    <x v="1"/>
  </r>
  <r>
    <n v="14469"/>
    <x v="0"/>
    <x v="0"/>
    <n v="100000"/>
    <x v="1"/>
    <x v="1"/>
    <s v="Professional"/>
    <s v="Yes"/>
    <n v="4"/>
    <x v="3"/>
    <x v="2"/>
    <n v="45"/>
    <x v="0"/>
    <x v="0"/>
  </r>
  <r>
    <n v="11538"/>
    <x v="1"/>
    <x v="0"/>
    <n v="60000"/>
    <x v="5"/>
    <x v="4"/>
    <s v="Skilled Manual"/>
    <s v="No"/>
    <n v="0"/>
    <x v="0"/>
    <x v="2"/>
    <n v="47"/>
    <x v="0"/>
    <x v="1"/>
  </r>
  <r>
    <n v="16245"/>
    <x v="1"/>
    <x v="0"/>
    <n v="80000"/>
    <x v="5"/>
    <x v="4"/>
    <s v="Skilled Manual"/>
    <s v="Yes"/>
    <n v="0"/>
    <x v="3"/>
    <x v="2"/>
    <n v="47"/>
    <x v="0"/>
    <x v="0"/>
  </r>
  <r>
    <n v="17858"/>
    <x v="0"/>
    <x v="1"/>
    <n v="40000"/>
    <x v="5"/>
    <x v="2"/>
    <s v="Skilled Manual"/>
    <s v="Yes"/>
    <n v="2"/>
    <x v="1"/>
    <x v="2"/>
    <n v="44"/>
    <x v="0"/>
    <x v="1"/>
  </r>
  <r>
    <n v="25347"/>
    <x v="1"/>
    <x v="0"/>
    <n v="20000"/>
    <x v="1"/>
    <x v="3"/>
    <s v="Clerical"/>
    <s v="No"/>
    <n v="2"/>
    <x v="0"/>
    <x v="2"/>
    <n v="49"/>
    <x v="0"/>
    <x v="0"/>
  </r>
  <r>
    <n v="15814"/>
    <x v="1"/>
    <x v="0"/>
    <n v="40000"/>
    <x v="3"/>
    <x v="2"/>
    <s v="Skilled Manual"/>
    <s v="Yes"/>
    <n v="1"/>
    <x v="2"/>
    <x v="2"/>
    <n v="30"/>
    <x v="2"/>
    <x v="0"/>
  </r>
  <r>
    <n v="11259"/>
    <x v="0"/>
    <x v="0"/>
    <n v="100000"/>
    <x v="5"/>
    <x v="1"/>
    <s v="Professional"/>
    <s v="Yes"/>
    <n v="4"/>
    <x v="1"/>
    <x v="2"/>
    <n v="41"/>
    <x v="0"/>
    <x v="1"/>
  </r>
  <r>
    <n v="11200"/>
    <x v="0"/>
    <x v="1"/>
    <n v="70000"/>
    <x v="5"/>
    <x v="0"/>
    <s v="Management"/>
    <s v="Yes"/>
    <n v="1"/>
    <x v="3"/>
    <x v="2"/>
    <n v="58"/>
    <x v="1"/>
    <x v="0"/>
  </r>
  <r>
    <n v="25101"/>
    <x v="0"/>
    <x v="1"/>
    <n v="60000"/>
    <x v="2"/>
    <x v="0"/>
    <s v="Professional"/>
    <s v="Yes"/>
    <n v="1"/>
    <x v="1"/>
    <x v="2"/>
    <n v="47"/>
    <x v="0"/>
    <x v="0"/>
  </r>
  <r>
    <n v="21801"/>
    <x v="0"/>
    <x v="0"/>
    <n v="70000"/>
    <x v="5"/>
    <x v="1"/>
    <s v="Professional"/>
    <s v="Yes"/>
    <n v="1"/>
    <x v="3"/>
    <x v="2"/>
    <n v="55"/>
    <x v="1"/>
    <x v="0"/>
  </r>
  <r>
    <n v="25943"/>
    <x v="1"/>
    <x v="0"/>
    <n v="70000"/>
    <x v="3"/>
    <x v="1"/>
    <s v="Skilled Manual"/>
    <s v="No"/>
    <n v="2"/>
    <x v="0"/>
    <x v="2"/>
    <n v="27"/>
    <x v="2"/>
    <x v="1"/>
  </r>
  <r>
    <n v="22127"/>
    <x v="0"/>
    <x v="1"/>
    <n v="60000"/>
    <x v="1"/>
    <x v="4"/>
    <s v="Management"/>
    <s v="Yes"/>
    <n v="2"/>
    <x v="3"/>
    <x v="2"/>
    <n v="67"/>
    <x v="1"/>
    <x v="0"/>
  </r>
  <r>
    <n v="20414"/>
    <x v="0"/>
    <x v="0"/>
    <n v="60000"/>
    <x v="3"/>
    <x v="1"/>
    <s v="Skilled Manual"/>
    <s v="Yes"/>
    <n v="2"/>
    <x v="2"/>
    <x v="2"/>
    <n v="29"/>
    <x v="2"/>
    <x v="0"/>
  </r>
  <r>
    <n v="23672"/>
    <x v="0"/>
    <x v="0"/>
    <n v="60000"/>
    <x v="1"/>
    <x v="4"/>
    <s v="Management"/>
    <s v="Yes"/>
    <n v="2"/>
    <x v="3"/>
    <x v="2"/>
    <n v="67"/>
    <x v="1"/>
    <x v="0"/>
  </r>
  <r>
    <n v="29255"/>
    <x v="1"/>
    <x v="1"/>
    <n v="80000"/>
    <x v="1"/>
    <x v="1"/>
    <s v="Professional"/>
    <s v="No"/>
    <n v="1"/>
    <x v="3"/>
    <x v="2"/>
    <n v="51"/>
    <x v="0"/>
    <x v="1"/>
  </r>
  <r>
    <n v="28815"/>
    <x v="0"/>
    <x v="0"/>
    <n v="50000"/>
    <x v="0"/>
    <x v="4"/>
    <s v="Skilled Manual"/>
    <s v="Yes"/>
    <n v="0"/>
    <x v="0"/>
    <x v="2"/>
    <n v="35"/>
    <x v="0"/>
    <x v="0"/>
  </r>
  <r>
    <n v="27753"/>
    <x v="0"/>
    <x v="1"/>
    <n v="40000"/>
    <x v="3"/>
    <x v="2"/>
    <s v="Skilled Manual"/>
    <s v="No"/>
    <n v="2"/>
    <x v="3"/>
    <x v="2"/>
    <n v="30"/>
    <x v="2"/>
    <x v="0"/>
  </r>
  <r>
    <n v="27643"/>
    <x v="1"/>
    <x v="1"/>
    <n v="70000"/>
    <x v="2"/>
    <x v="1"/>
    <s v="Professional"/>
    <s v="Yes"/>
    <n v="3"/>
    <x v="1"/>
    <x v="2"/>
    <n v="44"/>
    <x v="0"/>
    <x v="0"/>
  </r>
  <r>
    <n v="13754"/>
    <x v="1"/>
    <x v="0"/>
    <n v="80000"/>
    <x v="5"/>
    <x v="4"/>
    <s v="Skilled Manual"/>
    <s v="Yes"/>
    <n v="0"/>
    <x v="3"/>
    <x v="2"/>
    <n v="48"/>
    <x v="0"/>
    <x v="0"/>
  </r>
  <r>
    <n v="22088"/>
    <x v="0"/>
    <x v="0"/>
    <n v="130000"/>
    <x v="0"/>
    <x v="0"/>
    <s v="Management"/>
    <s v="Yes"/>
    <n v="2"/>
    <x v="0"/>
    <x v="2"/>
    <n v="45"/>
    <x v="0"/>
    <x v="1"/>
  </r>
  <r>
    <n v="27388"/>
    <x v="0"/>
    <x v="1"/>
    <n v="60000"/>
    <x v="1"/>
    <x v="0"/>
    <s v="Management"/>
    <s v="No"/>
    <n v="2"/>
    <x v="3"/>
    <x v="2"/>
    <n v="66"/>
    <x v="1"/>
    <x v="0"/>
  </r>
  <r>
    <n v="24745"/>
    <x v="1"/>
    <x v="0"/>
    <n v="30000"/>
    <x v="4"/>
    <x v="2"/>
    <s v="Skilled Manual"/>
    <s v="No"/>
    <n v="2"/>
    <x v="0"/>
    <x v="2"/>
    <n v="49"/>
    <x v="0"/>
    <x v="0"/>
  </r>
  <r>
    <n v="29237"/>
    <x v="1"/>
    <x v="0"/>
    <n v="120000"/>
    <x v="5"/>
    <x v="1"/>
    <s v="Professional"/>
    <s v="Yes"/>
    <n v="3"/>
    <x v="2"/>
    <x v="2"/>
    <n v="43"/>
    <x v="0"/>
    <x v="1"/>
  </r>
  <r>
    <n v="15272"/>
    <x v="1"/>
    <x v="1"/>
    <n v="40000"/>
    <x v="3"/>
    <x v="2"/>
    <s v="Skilled Manual"/>
    <s v="No"/>
    <n v="2"/>
    <x v="3"/>
    <x v="2"/>
    <n v="30"/>
    <x v="2"/>
    <x v="0"/>
  </r>
  <r>
    <n v="18949"/>
    <x v="1"/>
    <x v="1"/>
    <n v="70000"/>
    <x v="3"/>
    <x v="4"/>
    <s v="Management"/>
    <s v="Yes"/>
    <n v="2"/>
    <x v="2"/>
    <x v="2"/>
    <n v="74"/>
    <x v="1"/>
    <x v="1"/>
  </r>
  <r>
    <n v="14507"/>
    <x v="0"/>
    <x v="1"/>
    <n v="100000"/>
    <x v="4"/>
    <x v="4"/>
    <s v="Management"/>
    <s v="Yes"/>
    <n v="3"/>
    <x v="3"/>
    <x v="2"/>
    <n v="65"/>
    <x v="1"/>
    <x v="0"/>
  </r>
  <r>
    <n v="25886"/>
    <x v="0"/>
    <x v="0"/>
    <n v="60000"/>
    <x v="4"/>
    <x v="1"/>
    <s v="Professional"/>
    <s v="Yes"/>
    <n v="2"/>
    <x v="1"/>
    <x v="2"/>
    <n v="56"/>
    <x v="1"/>
    <x v="1"/>
  </r>
  <r>
    <n v="21441"/>
    <x v="0"/>
    <x v="1"/>
    <n v="50000"/>
    <x v="5"/>
    <x v="0"/>
    <s v="Management"/>
    <s v="Yes"/>
    <n v="2"/>
    <x v="4"/>
    <x v="2"/>
    <n v="64"/>
    <x v="1"/>
    <x v="0"/>
  </r>
  <r>
    <n v="21741"/>
    <x v="0"/>
    <x v="0"/>
    <n v="70000"/>
    <x v="1"/>
    <x v="1"/>
    <s v="Professional"/>
    <s v="Yes"/>
    <n v="2"/>
    <x v="2"/>
    <x v="2"/>
    <n v="50"/>
    <x v="0"/>
    <x v="1"/>
  </r>
  <r>
    <n v="14572"/>
    <x v="0"/>
    <x v="0"/>
    <n v="70000"/>
    <x v="1"/>
    <x v="4"/>
    <s v="Professional"/>
    <s v="Yes"/>
    <n v="0"/>
    <x v="1"/>
    <x v="2"/>
    <n v="35"/>
    <x v="0"/>
    <x v="1"/>
  </r>
  <r>
    <n v="23368"/>
    <x v="0"/>
    <x v="0"/>
    <n v="60000"/>
    <x v="2"/>
    <x v="0"/>
    <s v="Skilled Manual"/>
    <s v="Yes"/>
    <n v="3"/>
    <x v="4"/>
    <x v="2"/>
    <n v="41"/>
    <x v="0"/>
    <x v="0"/>
  </r>
  <r>
    <n v="16217"/>
    <x v="1"/>
    <x v="0"/>
    <n v="60000"/>
    <x v="3"/>
    <x v="4"/>
    <s v="Skilled Manual"/>
    <s v="Yes"/>
    <n v="0"/>
    <x v="0"/>
    <x v="2"/>
    <n v="39"/>
    <x v="0"/>
    <x v="0"/>
  </r>
  <r>
    <n v="16247"/>
    <x v="1"/>
    <x v="0"/>
    <n v="60000"/>
    <x v="5"/>
    <x v="4"/>
    <s v="Skilled Manual"/>
    <s v="No"/>
    <n v="0"/>
    <x v="3"/>
    <x v="2"/>
    <n v="47"/>
    <x v="0"/>
    <x v="0"/>
  </r>
  <r>
    <n v="22010"/>
    <x v="1"/>
    <x v="1"/>
    <n v="40000"/>
    <x v="3"/>
    <x v="2"/>
    <s v="Skilled Manual"/>
    <s v="Yes"/>
    <n v="2"/>
    <x v="2"/>
    <x v="2"/>
    <n v="31"/>
    <x v="0"/>
    <x v="0"/>
  </r>
  <r>
    <n v="25872"/>
    <x v="1"/>
    <x v="0"/>
    <n v="70000"/>
    <x v="4"/>
    <x v="0"/>
    <s v="Management"/>
    <s v="No"/>
    <n v="1"/>
    <x v="1"/>
    <x v="2"/>
    <n v="58"/>
    <x v="1"/>
    <x v="1"/>
  </r>
  <r>
    <n v="19164"/>
    <x v="1"/>
    <x v="0"/>
    <n v="70000"/>
    <x v="3"/>
    <x v="0"/>
    <s v="Professional"/>
    <s v="No"/>
    <n v="1"/>
    <x v="1"/>
    <x v="2"/>
    <n v="38"/>
    <x v="0"/>
    <x v="1"/>
  </r>
  <r>
    <n v="18435"/>
    <x v="1"/>
    <x v="0"/>
    <n v="70000"/>
    <x v="2"/>
    <x v="4"/>
    <s v="Management"/>
    <s v="Yes"/>
    <n v="2"/>
    <x v="4"/>
    <x v="2"/>
    <n v="67"/>
    <x v="1"/>
    <x v="1"/>
  </r>
  <r>
    <n v="14284"/>
    <x v="1"/>
    <x v="1"/>
    <n v="60000"/>
    <x v="3"/>
    <x v="1"/>
    <s v="Professional"/>
    <s v="No"/>
    <n v="2"/>
    <x v="3"/>
    <x v="2"/>
    <n v="32"/>
    <x v="0"/>
    <x v="1"/>
  </r>
  <r>
    <n v="11287"/>
    <x v="0"/>
    <x v="1"/>
    <n v="70000"/>
    <x v="2"/>
    <x v="1"/>
    <s v="Professional"/>
    <s v="No"/>
    <n v="3"/>
    <x v="2"/>
    <x v="2"/>
    <n v="45"/>
    <x v="0"/>
    <x v="0"/>
  </r>
  <r>
    <n v="13066"/>
    <x v="1"/>
    <x v="1"/>
    <n v="30000"/>
    <x v="3"/>
    <x v="2"/>
    <s v="Skilled Manual"/>
    <s v="No"/>
    <n v="2"/>
    <x v="3"/>
    <x v="2"/>
    <n v="31"/>
    <x v="0"/>
    <x v="1"/>
  </r>
  <r>
    <n v="29106"/>
    <x v="1"/>
    <x v="1"/>
    <n v="40000"/>
    <x v="3"/>
    <x v="2"/>
    <s v="Skilled Manual"/>
    <s v="No"/>
    <n v="2"/>
    <x v="3"/>
    <x v="2"/>
    <n v="31"/>
    <x v="0"/>
    <x v="1"/>
  </r>
  <r>
    <n v="26236"/>
    <x v="0"/>
    <x v="0"/>
    <n v="40000"/>
    <x v="1"/>
    <x v="1"/>
    <s v="Clerical"/>
    <s v="Yes"/>
    <n v="1"/>
    <x v="0"/>
    <x v="2"/>
    <n v="31"/>
    <x v="0"/>
    <x v="0"/>
  </r>
  <r>
    <n v="17531"/>
    <x v="0"/>
    <x v="1"/>
    <n v="60000"/>
    <x v="4"/>
    <x v="2"/>
    <s v="Professional"/>
    <s v="No"/>
    <n v="2"/>
    <x v="2"/>
    <x v="2"/>
    <n v="50"/>
    <x v="0"/>
    <x v="0"/>
  </r>
  <r>
    <n v="12964"/>
    <x v="0"/>
    <x v="1"/>
    <n v="70000"/>
    <x v="0"/>
    <x v="1"/>
    <s v="Skilled Manual"/>
    <s v="Yes"/>
    <n v="1"/>
    <x v="0"/>
    <x v="2"/>
    <n v="44"/>
    <x v="0"/>
    <x v="0"/>
  </r>
  <r>
    <n v="19133"/>
    <x v="1"/>
    <x v="1"/>
    <n v="50000"/>
    <x v="4"/>
    <x v="0"/>
    <s v="Skilled Manual"/>
    <s v="Yes"/>
    <n v="1"/>
    <x v="1"/>
    <x v="2"/>
    <n v="38"/>
    <x v="0"/>
    <x v="1"/>
  </r>
  <r>
    <n v="24643"/>
    <x v="1"/>
    <x v="0"/>
    <n v="60000"/>
    <x v="5"/>
    <x v="0"/>
    <s v="Management"/>
    <s v="Yes"/>
    <n v="2"/>
    <x v="4"/>
    <x v="2"/>
    <n v="63"/>
    <x v="1"/>
    <x v="0"/>
  </r>
  <r>
    <n v="21599"/>
    <x v="0"/>
    <x v="0"/>
    <n v="60000"/>
    <x v="0"/>
    <x v="4"/>
    <s v="Professional"/>
    <s v="Yes"/>
    <n v="0"/>
    <x v="1"/>
    <x v="2"/>
    <n v="36"/>
    <x v="0"/>
    <x v="1"/>
  </r>
  <r>
    <n v="22976"/>
    <x v="1"/>
    <x v="1"/>
    <n v="40000"/>
    <x v="3"/>
    <x v="2"/>
    <s v="Skilled Manual"/>
    <s v="No"/>
    <n v="2"/>
    <x v="0"/>
    <x v="2"/>
    <n v="28"/>
    <x v="2"/>
    <x v="1"/>
  </r>
  <r>
    <n v="27637"/>
    <x v="1"/>
    <x v="0"/>
    <n v="100000"/>
    <x v="0"/>
    <x v="1"/>
    <s v="Professional"/>
    <s v="No"/>
    <n v="3"/>
    <x v="3"/>
    <x v="2"/>
    <n v="44"/>
    <x v="0"/>
    <x v="0"/>
  </r>
  <r>
    <n v="11890"/>
    <x v="0"/>
    <x v="0"/>
    <n v="70000"/>
    <x v="2"/>
    <x v="4"/>
    <s v="Professional"/>
    <s v="Yes"/>
    <n v="1"/>
    <x v="0"/>
    <x v="2"/>
    <n v="47"/>
    <x v="0"/>
    <x v="0"/>
  </r>
  <r>
    <n v="28580"/>
    <x v="0"/>
    <x v="0"/>
    <n v="80000"/>
    <x v="3"/>
    <x v="4"/>
    <s v="Skilled Manual"/>
    <s v="Yes"/>
    <n v="0"/>
    <x v="3"/>
    <x v="2"/>
    <n v="40"/>
    <x v="0"/>
    <x v="1"/>
  </r>
  <r>
    <n v="14443"/>
    <x v="0"/>
    <x v="1"/>
    <n v="130000"/>
    <x v="0"/>
    <x v="4"/>
    <s v="Management"/>
    <s v="Yes"/>
    <n v="4"/>
    <x v="0"/>
    <x v="2"/>
    <n v="40"/>
    <x v="0"/>
    <x v="0"/>
  </r>
  <r>
    <n v="17864"/>
    <x v="0"/>
    <x v="0"/>
    <n v="60000"/>
    <x v="0"/>
    <x v="1"/>
    <s v="Skilled Manual"/>
    <s v="Yes"/>
    <n v="1"/>
    <x v="1"/>
    <x v="2"/>
    <n v="46"/>
    <x v="0"/>
    <x v="1"/>
  </r>
  <r>
    <n v="20505"/>
    <x v="0"/>
    <x v="0"/>
    <n v="40000"/>
    <x v="2"/>
    <x v="2"/>
    <s v="Professional"/>
    <s v="No"/>
    <n v="2"/>
    <x v="4"/>
    <x v="2"/>
    <n v="61"/>
    <x v="1"/>
    <x v="0"/>
  </r>
  <r>
    <n v="14592"/>
    <x v="0"/>
    <x v="0"/>
    <n v="60000"/>
    <x v="3"/>
    <x v="4"/>
    <s v="Professional"/>
    <s v="Yes"/>
    <n v="0"/>
    <x v="0"/>
    <x v="2"/>
    <n v="40"/>
    <x v="0"/>
    <x v="0"/>
  </r>
  <r>
    <n v="22227"/>
    <x v="0"/>
    <x v="0"/>
    <n v="60000"/>
    <x v="4"/>
    <x v="2"/>
    <s v="Professional"/>
    <s v="Yes"/>
    <n v="2"/>
    <x v="2"/>
    <x v="2"/>
    <n v="50"/>
    <x v="0"/>
    <x v="0"/>
  </r>
  <r>
    <n v="21471"/>
    <x v="0"/>
    <x v="1"/>
    <n v="70000"/>
    <x v="4"/>
    <x v="1"/>
    <s v="Professional"/>
    <s v="Yes"/>
    <n v="1"/>
    <x v="4"/>
    <x v="2"/>
    <n v="59"/>
    <x v="1"/>
    <x v="0"/>
  </r>
  <r>
    <n v="22252"/>
    <x v="1"/>
    <x v="0"/>
    <n v="60000"/>
    <x v="0"/>
    <x v="4"/>
    <s v="Professional"/>
    <s v="Yes"/>
    <n v="0"/>
    <x v="1"/>
    <x v="2"/>
    <n v="36"/>
    <x v="0"/>
    <x v="1"/>
  </r>
  <r>
    <n v="21260"/>
    <x v="1"/>
    <x v="0"/>
    <n v="40000"/>
    <x v="3"/>
    <x v="2"/>
    <s v="Skilled Manual"/>
    <s v="Yes"/>
    <n v="2"/>
    <x v="2"/>
    <x v="2"/>
    <n v="30"/>
    <x v="2"/>
    <x v="0"/>
  </r>
  <r>
    <n v="11817"/>
    <x v="1"/>
    <x v="0"/>
    <n v="70000"/>
    <x v="5"/>
    <x v="4"/>
    <s v="Professional"/>
    <s v="Yes"/>
    <n v="0"/>
    <x v="1"/>
    <x v="2"/>
    <n v="35"/>
    <x v="0"/>
    <x v="1"/>
  </r>
  <r>
    <n v="19223"/>
    <x v="0"/>
    <x v="0"/>
    <n v="30000"/>
    <x v="4"/>
    <x v="2"/>
    <s v="Skilled Manual"/>
    <s v="Yes"/>
    <n v="2"/>
    <x v="3"/>
    <x v="2"/>
    <n v="48"/>
    <x v="0"/>
    <x v="0"/>
  </r>
  <r>
    <n v="18517"/>
    <x v="0"/>
    <x v="1"/>
    <n v="100000"/>
    <x v="1"/>
    <x v="0"/>
    <s v="Management"/>
    <s v="Yes"/>
    <n v="4"/>
    <x v="0"/>
    <x v="2"/>
    <n v="41"/>
    <x v="0"/>
    <x v="0"/>
  </r>
  <r>
    <n v="21717"/>
    <x v="0"/>
    <x v="1"/>
    <n v="40000"/>
    <x v="4"/>
    <x v="1"/>
    <s v="Clerical"/>
    <s v="Yes"/>
    <n v="1"/>
    <x v="0"/>
    <x v="2"/>
    <n v="47"/>
    <x v="0"/>
    <x v="0"/>
  </r>
  <r>
    <n v="13760"/>
    <x v="0"/>
    <x v="1"/>
    <n v="60000"/>
    <x v="5"/>
    <x v="4"/>
    <s v="Skilled Manual"/>
    <s v="No"/>
    <n v="0"/>
    <x v="0"/>
    <x v="2"/>
    <n v="47"/>
    <x v="0"/>
    <x v="0"/>
  </r>
  <r>
    <n v="18145"/>
    <x v="0"/>
    <x v="1"/>
    <n v="80000"/>
    <x v="2"/>
    <x v="0"/>
    <s v="Management"/>
    <s v="No"/>
    <n v="2"/>
    <x v="1"/>
    <x v="0"/>
    <n v="62"/>
    <x v="1"/>
    <x v="0"/>
  </r>
  <r>
    <n v="21770"/>
    <x v="0"/>
    <x v="1"/>
    <n v="60000"/>
    <x v="5"/>
    <x v="0"/>
    <s v="Management"/>
    <s v="Yes"/>
    <n v="2"/>
    <x v="4"/>
    <x v="2"/>
    <n v="60"/>
    <x v="1"/>
    <x v="0"/>
  </r>
  <r>
    <n v="11165"/>
    <x v="0"/>
    <x v="0"/>
    <n v="60000"/>
    <x v="3"/>
    <x v="1"/>
    <s v="Skilled Manual"/>
    <s v="No"/>
    <n v="1"/>
    <x v="3"/>
    <x v="2"/>
    <n v="33"/>
    <x v="0"/>
    <x v="0"/>
  </r>
  <r>
    <n v="16377"/>
    <x v="1"/>
    <x v="0"/>
    <n v="80000"/>
    <x v="5"/>
    <x v="4"/>
    <s v="Skilled Manual"/>
    <s v="No"/>
    <n v="0"/>
    <x v="0"/>
    <x v="2"/>
    <n v="47"/>
    <x v="0"/>
    <x v="0"/>
  </r>
  <r>
    <n v="26248"/>
    <x v="0"/>
    <x v="1"/>
    <n v="20000"/>
    <x v="1"/>
    <x v="3"/>
    <s v="Clerical"/>
    <s v="No"/>
    <n v="2"/>
    <x v="0"/>
    <x v="2"/>
    <n v="52"/>
    <x v="0"/>
    <x v="0"/>
  </r>
  <r>
    <n v="23461"/>
    <x v="0"/>
    <x v="0"/>
    <n v="90000"/>
    <x v="2"/>
    <x v="1"/>
    <s v="Professional"/>
    <s v="Yes"/>
    <n v="3"/>
    <x v="1"/>
    <x v="2"/>
    <n v="40"/>
    <x v="0"/>
    <x v="0"/>
  </r>
  <r>
    <n v="29133"/>
    <x v="1"/>
    <x v="0"/>
    <n v="60000"/>
    <x v="5"/>
    <x v="0"/>
    <s v="Skilled Manual"/>
    <s v="No"/>
    <n v="2"/>
    <x v="0"/>
    <x v="2"/>
    <n v="42"/>
    <x v="0"/>
    <x v="0"/>
  </r>
  <r>
    <n v="27673"/>
    <x v="1"/>
    <x v="0"/>
    <n v="60000"/>
    <x v="1"/>
    <x v="4"/>
    <s v="Management"/>
    <s v="Yes"/>
    <n v="2"/>
    <x v="2"/>
    <x v="2"/>
    <n v="53"/>
    <x v="0"/>
    <x v="1"/>
  </r>
  <r>
    <n v="12774"/>
    <x v="0"/>
    <x v="0"/>
    <n v="40000"/>
    <x v="0"/>
    <x v="1"/>
    <s v="Clerical"/>
    <s v="Yes"/>
    <n v="1"/>
    <x v="3"/>
    <x v="2"/>
    <n v="51"/>
    <x v="0"/>
    <x v="1"/>
  </r>
  <r>
    <n v="18910"/>
    <x v="1"/>
    <x v="1"/>
    <n v="30000"/>
    <x v="3"/>
    <x v="1"/>
    <s v="Skilled Manual"/>
    <s v="Yes"/>
    <n v="2"/>
    <x v="2"/>
    <x v="2"/>
    <n v="30"/>
    <x v="2"/>
    <x v="0"/>
  </r>
  <r>
    <n v="11699"/>
    <x v="1"/>
    <x v="1"/>
    <n v="60000"/>
    <x v="3"/>
    <x v="0"/>
    <s v="Skilled Manual"/>
    <s v="No"/>
    <n v="2"/>
    <x v="0"/>
    <x v="2"/>
    <n v="30"/>
    <x v="2"/>
    <x v="0"/>
  </r>
  <r>
    <n v="16725"/>
    <x v="0"/>
    <x v="1"/>
    <n v="30000"/>
    <x v="3"/>
    <x v="2"/>
    <s v="Skilled Manual"/>
    <s v="Yes"/>
    <n v="2"/>
    <x v="2"/>
    <x v="2"/>
    <n v="26"/>
    <x v="2"/>
    <x v="0"/>
  </r>
  <r>
    <n v="28269"/>
    <x v="1"/>
    <x v="0"/>
    <n v="130000"/>
    <x v="0"/>
    <x v="0"/>
    <s v="Management"/>
    <s v="No"/>
    <n v="1"/>
    <x v="1"/>
    <x v="2"/>
    <n v="45"/>
    <x v="0"/>
    <x v="0"/>
  </r>
  <r>
    <n v="23144"/>
    <x v="0"/>
    <x v="1"/>
    <n v="50000"/>
    <x v="0"/>
    <x v="0"/>
    <s v="Skilled Manual"/>
    <s v="Yes"/>
    <n v="0"/>
    <x v="0"/>
    <x v="2"/>
    <n v="34"/>
    <x v="0"/>
    <x v="1"/>
  </r>
  <r>
    <n v="23376"/>
    <x v="0"/>
    <x v="1"/>
    <n v="70000"/>
    <x v="0"/>
    <x v="0"/>
    <s v="Professional"/>
    <s v="Yes"/>
    <n v="1"/>
    <x v="1"/>
    <x v="2"/>
    <n v="44"/>
    <x v="0"/>
    <x v="1"/>
  </r>
  <r>
    <n v="25970"/>
    <x v="1"/>
    <x v="0"/>
    <n v="60000"/>
    <x v="5"/>
    <x v="0"/>
    <s v="Skilled Manual"/>
    <s v="No"/>
    <n v="2"/>
    <x v="0"/>
    <x v="2"/>
    <n v="41"/>
    <x v="0"/>
    <x v="1"/>
  </r>
  <r>
    <n v="28068"/>
    <x v="1"/>
    <x v="0"/>
    <n v="80000"/>
    <x v="1"/>
    <x v="4"/>
    <s v="Professional"/>
    <s v="No"/>
    <n v="0"/>
    <x v="0"/>
    <x v="2"/>
    <n v="36"/>
    <x v="0"/>
    <x v="1"/>
  </r>
  <r>
    <n v="18390"/>
    <x v="0"/>
    <x v="1"/>
    <n v="80000"/>
    <x v="2"/>
    <x v="1"/>
    <s v="Professional"/>
    <s v="Yes"/>
    <n v="2"/>
    <x v="0"/>
    <x v="2"/>
    <n v="44"/>
    <x v="0"/>
    <x v="0"/>
  </r>
  <r>
    <n v="29112"/>
    <x v="1"/>
    <x v="1"/>
    <n v="60000"/>
    <x v="3"/>
    <x v="1"/>
    <s v="Professional"/>
    <s v="No"/>
    <n v="2"/>
    <x v="3"/>
    <x v="2"/>
    <n v="30"/>
    <x v="2"/>
    <x v="0"/>
  </r>
  <r>
    <n v="14090"/>
    <x v="0"/>
    <x v="0"/>
    <n v="30000"/>
    <x v="3"/>
    <x v="3"/>
    <s v="Clerical"/>
    <s v="No"/>
    <n v="2"/>
    <x v="0"/>
    <x v="2"/>
    <n v="28"/>
    <x v="2"/>
    <x v="0"/>
  </r>
  <r>
    <n v="27040"/>
    <x v="0"/>
    <x v="1"/>
    <n v="20000"/>
    <x v="4"/>
    <x v="3"/>
    <s v="Clerical"/>
    <s v="Yes"/>
    <n v="2"/>
    <x v="3"/>
    <x v="2"/>
    <n v="49"/>
    <x v="0"/>
    <x v="0"/>
  </r>
  <r>
    <n v="23479"/>
    <x v="1"/>
    <x v="1"/>
    <n v="90000"/>
    <x v="3"/>
    <x v="1"/>
    <s v="Professional"/>
    <s v="No"/>
    <n v="2"/>
    <x v="0"/>
    <x v="2"/>
    <n v="43"/>
    <x v="0"/>
    <x v="1"/>
  </r>
  <r>
    <n v="16795"/>
    <x v="0"/>
    <x v="0"/>
    <n v="70000"/>
    <x v="5"/>
    <x v="0"/>
    <s v="Management"/>
    <s v="Yes"/>
    <n v="1"/>
    <x v="3"/>
    <x v="2"/>
    <n v="59"/>
    <x v="1"/>
    <x v="0"/>
  </r>
  <r>
    <n v="22014"/>
    <x v="1"/>
    <x v="1"/>
    <n v="30000"/>
    <x v="3"/>
    <x v="2"/>
    <s v="Skilled Manual"/>
    <s v="Yes"/>
    <n v="2"/>
    <x v="2"/>
    <x v="2"/>
    <n v="26"/>
    <x v="2"/>
    <x v="0"/>
  </r>
  <r>
    <n v="13314"/>
    <x v="0"/>
    <x v="1"/>
    <n v="120000"/>
    <x v="0"/>
    <x v="2"/>
    <s v="Professional"/>
    <s v="Yes"/>
    <n v="4"/>
    <x v="2"/>
    <x v="2"/>
    <n v="46"/>
    <x v="0"/>
    <x v="1"/>
  </r>
  <r>
    <n v="11619"/>
    <x v="1"/>
    <x v="0"/>
    <n v="50000"/>
    <x v="3"/>
    <x v="4"/>
    <s v="Skilled Manual"/>
    <s v="Yes"/>
    <n v="0"/>
    <x v="3"/>
    <x v="2"/>
    <n v="33"/>
    <x v="0"/>
    <x v="0"/>
  </r>
  <r>
    <n v="29132"/>
    <x v="1"/>
    <x v="0"/>
    <n v="40000"/>
    <x v="3"/>
    <x v="0"/>
    <s v="Professional"/>
    <s v="Yes"/>
    <n v="1"/>
    <x v="1"/>
    <x v="2"/>
    <n v="42"/>
    <x v="0"/>
    <x v="1"/>
  </r>
  <r>
    <n v="11199"/>
    <x v="0"/>
    <x v="0"/>
    <n v="70000"/>
    <x v="5"/>
    <x v="0"/>
    <s v="Management"/>
    <s v="Yes"/>
    <n v="1"/>
    <x v="4"/>
    <x v="2"/>
    <n v="59"/>
    <x v="1"/>
    <x v="0"/>
  </r>
  <r>
    <n v="20296"/>
    <x v="1"/>
    <x v="0"/>
    <n v="60000"/>
    <x v="3"/>
    <x v="1"/>
    <s v="Skilled Manual"/>
    <s v="No"/>
    <n v="1"/>
    <x v="3"/>
    <x v="2"/>
    <n v="33"/>
    <x v="0"/>
    <x v="1"/>
  </r>
  <r>
    <n v="17546"/>
    <x v="0"/>
    <x v="0"/>
    <n v="70000"/>
    <x v="0"/>
    <x v="1"/>
    <s v="Skilled Manual"/>
    <s v="Yes"/>
    <n v="1"/>
    <x v="0"/>
    <x v="2"/>
    <n v="44"/>
    <x v="0"/>
    <x v="1"/>
  </r>
  <r>
    <n v="18069"/>
    <x v="0"/>
    <x v="1"/>
    <n v="70000"/>
    <x v="2"/>
    <x v="0"/>
    <s v="Management"/>
    <s v="Yes"/>
    <n v="4"/>
    <x v="4"/>
    <x v="2"/>
    <n v="60"/>
    <x v="1"/>
    <x v="0"/>
  </r>
  <r>
    <n v="23712"/>
    <x v="1"/>
    <x v="0"/>
    <n v="70000"/>
    <x v="4"/>
    <x v="0"/>
    <s v="Management"/>
    <s v="Yes"/>
    <n v="1"/>
    <x v="4"/>
    <x v="2"/>
    <n v="59"/>
    <x v="1"/>
    <x v="0"/>
  </r>
  <r>
    <n v="23358"/>
    <x v="0"/>
    <x v="1"/>
    <n v="60000"/>
    <x v="3"/>
    <x v="2"/>
    <s v="Professional"/>
    <s v="Yes"/>
    <n v="2"/>
    <x v="2"/>
    <x v="2"/>
    <n v="32"/>
    <x v="0"/>
    <x v="1"/>
  </r>
  <r>
    <n v="20518"/>
    <x v="0"/>
    <x v="0"/>
    <n v="70000"/>
    <x v="4"/>
    <x v="1"/>
    <s v="Professional"/>
    <s v="Yes"/>
    <n v="1"/>
    <x v="4"/>
    <x v="2"/>
    <n v="58"/>
    <x v="1"/>
    <x v="0"/>
  </r>
  <r>
    <n v="28026"/>
    <x v="0"/>
    <x v="0"/>
    <n v="40000"/>
    <x v="4"/>
    <x v="2"/>
    <s v="Professional"/>
    <s v="No"/>
    <n v="2"/>
    <x v="1"/>
    <x v="2"/>
    <n v="59"/>
    <x v="1"/>
    <x v="0"/>
  </r>
  <r>
    <n v="11669"/>
    <x v="1"/>
    <x v="0"/>
    <n v="70000"/>
    <x v="4"/>
    <x v="0"/>
    <s v="Skilled Manual"/>
    <s v="Yes"/>
    <n v="1"/>
    <x v="1"/>
    <x v="2"/>
    <n v="38"/>
    <x v="0"/>
    <x v="0"/>
  </r>
  <r>
    <n v="16020"/>
    <x v="0"/>
    <x v="1"/>
    <n v="40000"/>
    <x v="3"/>
    <x v="2"/>
    <s v="Skilled Manual"/>
    <s v="Yes"/>
    <n v="2"/>
    <x v="2"/>
    <x v="2"/>
    <n v="28"/>
    <x v="2"/>
    <x v="1"/>
  </r>
  <r>
    <n v="27090"/>
    <x v="0"/>
    <x v="0"/>
    <n v="60000"/>
    <x v="0"/>
    <x v="4"/>
    <s v="Professional"/>
    <s v="Yes"/>
    <n v="0"/>
    <x v="1"/>
    <x v="2"/>
    <n v="37"/>
    <x v="0"/>
    <x v="1"/>
  </r>
  <r>
    <n v="27198"/>
    <x v="1"/>
    <x v="0"/>
    <n v="80000"/>
    <x v="3"/>
    <x v="4"/>
    <s v="Skilled Manual"/>
    <s v="No"/>
    <n v="0"/>
    <x v="0"/>
    <x v="2"/>
    <n v="40"/>
    <x v="0"/>
    <x v="0"/>
  </r>
  <r>
    <n v="19661"/>
    <x v="1"/>
    <x v="1"/>
    <n v="90000"/>
    <x v="5"/>
    <x v="0"/>
    <s v="Management"/>
    <s v="Yes"/>
    <n v="1"/>
    <x v="3"/>
    <x v="2"/>
    <n v="38"/>
    <x v="0"/>
    <x v="1"/>
  </r>
  <r>
    <n v="26327"/>
    <x v="0"/>
    <x v="1"/>
    <n v="70000"/>
    <x v="5"/>
    <x v="4"/>
    <s v="Professional"/>
    <s v="Yes"/>
    <n v="0"/>
    <x v="1"/>
    <x v="2"/>
    <n v="36"/>
    <x v="0"/>
    <x v="1"/>
  </r>
  <r>
    <n v="26341"/>
    <x v="0"/>
    <x v="0"/>
    <n v="70000"/>
    <x v="2"/>
    <x v="4"/>
    <s v="Professional"/>
    <s v="Yes"/>
    <n v="2"/>
    <x v="0"/>
    <x v="2"/>
    <n v="37"/>
    <x v="0"/>
    <x v="0"/>
  </r>
  <r>
    <n v="24958"/>
    <x v="1"/>
    <x v="0"/>
    <n v="40000"/>
    <x v="2"/>
    <x v="2"/>
    <s v="Professional"/>
    <s v="No"/>
    <n v="3"/>
    <x v="1"/>
    <x v="2"/>
    <n v="60"/>
    <x v="1"/>
    <x v="1"/>
  </r>
  <r>
    <n v="13287"/>
    <x v="1"/>
    <x v="1"/>
    <n v="110000"/>
    <x v="5"/>
    <x v="0"/>
    <s v="Management"/>
    <s v="Yes"/>
    <n v="4"/>
    <x v="2"/>
    <x v="2"/>
    <n v="42"/>
    <x v="0"/>
    <x v="1"/>
  </r>
  <r>
    <n v="14493"/>
    <x v="1"/>
    <x v="0"/>
    <n v="70000"/>
    <x v="1"/>
    <x v="4"/>
    <s v="Management"/>
    <s v="No"/>
    <n v="2"/>
    <x v="3"/>
    <x v="2"/>
    <n v="53"/>
    <x v="0"/>
    <x v="0"/>
  </r>
  <r>
    <n v="26678"/>
    <x v="1"/>
    <x v="0"/>
    <n v="80000"/>
    <x v="4"/>
    <x v="3"/>
    <s v="Skilled Manual"/>
    <s v="Yes"/>
    <n v="2"/>
    <x v="2"/>
    <x v="2"/>
    <n v="49"/>
    <x v="0"/>
    <x v="0"/>
  </r>
  <r>
    <n v="23275"/>
    <x v="0"/>
    <x v="1"/>
    <n v="30000"/>
    <x v="4"/>
    <x v="2"/>
    <s v="Skilled Manual"/>
    <s v="Yes"/>
    <n v="2"/>
    <x v="3"/>
    <x v="2"/>
    <n v="49"/>
    <x v="0"/>
    <x v="0"/>
  </r>
  <r>
    <n v="11270"/>
    <x v="0"/>
    <x v="1"/>
    <n v="130000"/>
    <x v="4"/>
    <x v="4"/>
    <s v="Management"/>
    <s v="Yes"/>
    <n v="3"/>
    <x v="0"/>
    <x v="2"/>
    <n v="42"/>
    <x v="0"/>
    <x v="1"/>
  </r>
  <r>
    <n v="20084"/>
    <x v="0"/>
    <x v="1"/>
    <n v="20000"/>
    <x v="4"/>
    <x v="2"/>
    <s v="Manual"/>
    <s v="No"/>
    <n v="2"/>
    <x v="0"/>
    <x v="2"/>
    <n v="53"/>
    <x v="0"/>
    <x v="0"/>
  </r>
  <r>
    <n v="16144"/>
    <x v="0"/>
    <x v="1"/>
    <n v="70000"/>
    <x v="0"/>
    <x v="4"/>
    <s v="Professional"/>
    <s v="Yes"/>
    <n v="1"/>
    <x v="0"/>
    <x v="2"/>
    <n v="46"/>
    <x v="0"/>
    <x v="1"/>
  </r>
  <r>
    <n v="27731"/>
    <x v="0"/>
    <x v="1"/>
    <n v="40000"/>
    <x v="3"/>
    <x v="2"/>
    <s v="Skilled Manual"/>
    <s v="Yes"/>
    <n v="2"/>
    <x v="2"/>
    <x v="2"/>
    <n v="27"/>
    <x v="2"/>
    <x v="0"/>
  </r>
  <r>
    <n v="11886"/>
    <x v="0"/>
    <x v="0"/>
    <n v="60000"/>
    <x v="1"/>
    <x v="0"/>
    <s v="Professional"/>
    <s v="Yes"/>
    <n v="1"/>
    <x v="0"/>
    <x v="2"/>
    <n v="48"/>
    <x v="0"/>
    <x v="1"/>
  </r>
  <r>
    <n v="24324"/>
    <x v="1"/>
    <x v="0"/>
    <n v="60000"/>
    <x v="5"/>
    <x v="0"/>
    <s v="Skilled Manual"/>
    <s v="Yes"/>
    <n v="2"/>
    <x v="1"/>
    <x v="2"/>
    <n v="41"/>
    <x v="0"/>
    <x v="1"/>
  </r>
  <r>
    <n v="22220"/>
    <x v="0"/>
    <x v="1"/>
    <n v="60000"/>
    <x v="4"/>
    <x v="2"/>
    <s v="Professional"/>
    <s v="No"/>
    <n v="2"/>
    <x v="3"/>
    <x v="2"/>
    <n v="49"/>
    <x v="0"/>
    <x v="1"/>
  </r>
  <r>
    <n v="26625"/>
    <x v="1"/>
    <x v="0"/>
    <n v="60000"/>
    <x v="3"/>
    <x v="4"/>
    <s v="Professional"/>
    <s v="Yes"/>
    <n v="1"/>
    <x v="1"/>
    <x v="2"/>
    <n v="38"/>
    <x v="0"/>
    <x v="1"/>
  </r>
  <r>
    <n v="23027"/>
    <x v="1"/>
    <x v="1"/>
    <n v="130000"/>
    <x v="0"/>
    <x v="0"/>
    <s v="Management"/>
    <s v="No"/>
    <n v="4"/>
    <x v="0"/>
    <x v="2"/>
    <n v="44"/>
    <x v="0"/>
    <x v="0"/>
  </r>
  <r>
    <n v="16867"/>
    <x v="1"/>
    <x v="0"/>
    <n v="130000"/>
    <x v="0"/>
    <x v="0"/>
    <s v="Management"/>
    <s v="No"/>
    <n v="3"/>
    <x v="0"/>
    <x v="2"/>
    <n v="45"/>
    <x v="0"/>
    <x v="1"/>
  </r>
  <r>
    <n v="14514"/>
    <x v="1"/>
    <x v="0"/>
    <n v="30000"/>
    <x v="3"/>
    <x v="1"/>
    <s v="Skilled Manual"/>
    <s v="Yes"/>
    <n v="1"/>
    <x v="2"/>
    <x v="2"/>
    <n v="26"/>
    <x v="2"/>
    <x v="0"/>
  </r>
  <r>
    <n v="19634"/>
    <x v="0"/>
    <x v="1"/>
    <n v="40000"/>
    <x v="3"/>
    <x v="2"/>
    <s v="Skilled Manual"/>
    <s v="Yes"/>
    <n v="1"/>
    <x v="2"/>
    <x v="2"/>
    <n v="31"/>
    <x v="0"/>
    <x v="0"/>
  </r>
  <r>
    <n v="18504"/>
    <x v="0"/>
    <x v="1"/>
    <n v="70000"/>
    <x v="4"/>
    <x v="3"/>
    <s v="Skilled Manual"/>
    <s v="No"/>
    <n v="2"/>
    <x v="3"/>
    <x v="2"/>
    <n v="49"/>
    <x v="0"/>
    <x v="0"/>
  </r>
  <r>
    <n v="28799"/>
    <x v="1"/>
    <x v="0"/>
    <n v="40000"/>
    <x v="4"/>
    <x v="1"/>
    <s v="Clerical"/>
    <s v="No"/>
    <n v="1"/>
    <x v="3"/>
    <x v="2"/>
    <n v="47"/>
    <x v="0"/>
    <x v="1"/>
  </r>
  <r>
    <n v="11225"/>
    <x v="0"/>
    <x v="0"/>
    <n v="60000"/>
    <x v="4"/>
    <x v="1"/>
    <s v="Professional"/>
    <s v="Yes"/>
    <n v="1"/>
    <x v="4"/>
    <x v="2"/>
    <n v="55"/>
    <x v="1"/>
    <x v="0"/>
  </r>
  <r>
    <n v="17657"/>
    <x v="0"/>
    <x v="1"/>
    <n v="40000"/>
    <x v="5"/>
    <x v="1"/>
    <s v="Clerical"/>
    <s v="No"/>
    <n v="0"/>
    <x v="0"/>
    <x v="2"/>
    <n v="30"/>
    <x v="2"/>
    <x v="0"/>
  </r>
  <r>
    <n v="14913"/>
    <x v="0"/>
    <x v="0"/>
    <n v="40000"/>
    <x v="0"/>
    <x v="1"/>
    <s v="Clerical"/>
    <s v="Yes"/>
    <n v="1"/>
    <x v="3"/>
    <x v="2"/>
    <n v="48"/>
    <x v="0"/>
    <x v="1"/>
  </r>
  <r>
    <n v="14077"/>
    <x v="1"/>
    <x v="1"/>
    <n v="30000"/>
    <x v="3"/>
    <x v="2"/>
    <s v="Skilled Manual"/>
    <s v="Yes"/>
    <n v="2"/>
    <x v="2"/>
    <x v="2"/>
    <n v="30"/>
    <x v="2"/>
    <x v="0"/>
  </r>
  <r>
    <n v="13296"/>
    <x v="0"/>
    <x v="1"/>
    <n v="110000"/>
    <x v="0"/>
    <x v="0"/>
    <s v="Management"/>
    <s v="Yes"/>
    <n v="3"/>
    <x v="2"/>
    <x v="2"/>
    <n v="45"/>
    <x v="0"/>
    <x v="0"/>
  </r>
  <r>
    <n v="20535"/>
    <x v="0"/>
    <x v="0"/>
    <n v="70000"/>
    <x v="5"/>
    <x v="1"/>
    <s v="Professional"/>
    <s v="Yes"/>
    <n v="1"/>
    <x v="4"/>
    <x v="2"/>
    <n v="56"/>
    <x v="1"/>
    <x v="0"/>
  </r>
  <r>
    <n v="12452"/>
    <x v="0"/>
    <x v="1"/>
    <n v="60000"/>
    <x v="5"/>
    <x v="4"/>
    <s v="Skilled Manual"/>
    <s v="Yes"/>
    <n v="0"/>
    <x v="3"/>
    <x v="2"/>
    <n v="47"/>
    <x v="0"/>
    <x v="1"/>
  </r>
  <r>
    <n v="28043"/>
    <x v="0"/>
    <x v="0"/>
    <n v="60000"/>
    <x v="4"/>
    <x v="0"/>
    <s v="Management"/>
    <s v="Yes"/>
    <n v="0"/>
    <x v="4"/>
    <x v="2"/>
    <n v="56"/>
    <x v="1"/>
    <x v="0"/>
  </r>
  <r>
    <n v="12957"/>
    <x v="1"/>
    <x v="0"/>
    <n v="70000"/>
    <x v="0"/>
    <x v="0"/>
    <s v="Professional"/>
    <s v="No"/>
    <n v="1"/>
    <x v="0"/>
    <x v="2"/>
    <n v="44"/>
    <x v="0"/>
    <x v="0"/>
  </r>
  <r>
    <n v="15412"/>
    <x v="0"/>
    <x v="1"/>
    <n v="130000"/>
    <x v="4"/>
    <x v="4"/>
    <s v="Management"/>
    <s v="Yes"/>
    <n v="3"/>
    <x v="1"/>
    <x v="2"/>
    <n v="69"/>
    <x v="1"/>
    <x v="0"/>
  </r>
  <r>
    <n v="20514"/>
    <x v="0"/>
    <x v="0"/>
    <n v="70000"/>
    <x v="4"/>
    <x v="1"/>
    <s v="Professional"/>
    <s v="Yes"/>
    <n v="1"/>
    <x v="1"/>
    <x v="2"/>
    <n v="59"/>
    <x v="1"/>
    <x v="0"/>
  </r>
  <r>
    <n v="20758"/>
    <x v="0"/>
    <x v="1"/>
    <n v="30000"/>
    <x v="4"/>
    <x v="2"/>
    <s v="Skilled Manual"/>
    <s v="Yes"/>
    <n v="2"/>
    <x v="3"/>
    <x v="2"/>
    <n v="50"/>
    <x v="0"/>
    <x v="0"/>
  </r>
  <r>
    <n v="11801"/>
    <x v="0"/>
    <x v="1"/>
    <n v="60000"/>
    <x v="0"/>
    <x v="4"/>
    <s v="Professional"/>
    <s v="Yes"/>
    <n v="0"/>
    <x v="1"/>
    <x v="2"/>
    <n v="36"/>
    <x v="0"/>
    <x v="0"/>
  </r>
  <r>
    <n v="22211"/>
    <x v="0"/>
    <x v="1"/>
    <n v="60000"/>
    <x v="3"/>
    <x v="1"/>
    <s v="Professional"/>
    <s v="Yes"/>
    <n v="2"/>
    <x v="2"/>
    <x v="2"/>
    <n v="32"/>
    <x v="0"/>
    <x v="0"/>
  </r>
  <r>
    <n v="28087"/>
    <x v="1"/>
    <x v="0"/>
    <n v="40000"/>
    <x v="3"/>
    <x v="1"/>
    <s v="Skilled Manual"/>
    <s v="No"/>
    <n v="1"/>
    <x v="3"/>
    <x v="2"/>
    <n v="27"/>
    <x v="2"/>
    <x v="0"/>
  </r>
  <r>
    <n v="23668"/>
    <x v="0"/>
    <x v="0"/>
    <n v="40000"/>
    <x v="5"/>
    <x v="2"/>
    <s v="Professional"/>
    <s v="Yes"/>
    <n v="2"/>
    <x v="2"/>
    <x v="2"/>
    <n v="59"/>
    <x v="1"/>
    <x v="1"/>
  </r>
  <r>
    <n v="27441"/>
    <x v="0"/>
    <x v="1"/>
    <n v="60000"/>
    <x v="1"/>
    <x v="2"/>
    <s v="Professional"/>
    <s v="No"/>
    <n v="2"/>
    <x v="1"/>
    <x v="2"/>
    <n v="53"/>
    <x v="0"/>
    <x v="0"/>
  </r>
  <r>
    <n v="27261"/>
    <x v="0"/>
    <x v="1"/>
    <n v="40000"/>
    <x v="0"/>
    <x v="0"/>
    <s v="Skilled Manual"/>
    <s v="No"/>
    <n v="1"/>
    <x v="0"/>
    <x v="2"/>
    <n v="36"/>
    <x v="0"/>
    <x v="1"/>
  </r>
  <r>
    <n v="18649"/>
    <x v="1"/>
    <x v="1"/>
    <n v="30000"/>
    <x v="0"/>
    <x v="2"/>
    <s v="Clerical"/>
    <s v="Yes"/>
    <n v="2"/>
    <x v="3"/>
    <x v="2"/>
    <n v="51"/>
    <x v="0"/>
    <x v="1"/>
  </r>
  <r>
    <n v="21714"/>
    <x v="1"/>
    <x v="0"/>
    <n v="80000"/>
    <x v="2"/>
    <x v="4"/>
    <s v="Skilled Manual"/>
    <s v="No"/>
    <n v="0"/>
    <x v="0"/>
    <x v="2"/>
    <n v="47"/>
    <x v="0"/>
    <x v="0"/>
  </r>
  <r>
    <n v="23217"/>
    <x v="1"/>
    <x v="0"/>
    <n v="60000"/>
    <x v="1"/>
    <x v="4"/>
    <s v="Professional"/>
    <s v="Yes"/>
    <n v="0"/>
    <x v="1"/>
    <x v="2"/>
    <n v="43"/>
    <x v="0"/>
    <x v="1"/>
  </r>
  <r>
    <n v="23797"/>
    <x v="1"/>
    <x v="1"/>
    <n v="20000"/>
    <x v="1"/>
    <x v="3"/>
    <s v="Clerical"/>
    <s v="No"/>
    <n v="2"/>
    <x v="0"/>
    <x v="2"/>
    <n v="50"/>
    <x v="0"/>
    <x v="0"/>
  </r>
  <r>
    <n v="13216"/>
    <x v="0"/>
    <x v="0"/>
    <n v="60000"/>
    <x v="2"/>
    <x v="0"/>
    <s v="Management"/>
    <s v="Yes"/>
    <n v="3"/>
    <x v="4"/>
    <x v="2"/>
    <n v="59"/>
    <x v="1"/>
    <x v="0"/>
  </r>
  <r>
    <n v="20657"/>
    <x v="1"/>
    <x v="1"/>
    <n v="50000"/>
    <x v="4"/>
    <x v="0"/>
    <s v="Skilled Manual"/>
    <s v="Yes"/>
    <n v="0"/>
    <x v="1"/>
    <x v="2"/>
    <n v="37"/>
    <x v="0"/>
    <x v="1"/>
  </r>
  <r>
    <n v="12882"/>
    <x v="0"/>
    <x v="1"/>
    <n v="50000"/>
    <x v="0"/>
    <x v="4"/>
    <s v="Skilled Manual"/>
    <s v="Yes"/>
    <n v="0"/>
    <x v="0"/>
    <x v="2"/>
    <n v="33"/>
    <x v="0"/>
    <x v="1"/>
  </r>
  <r>
    <n v="25908"/>
    <x v="0"/>
    <x v="0"/>
    <n v="60000"/>
    <x v="3"/>
    <x v="1"/>
    <s v="Skilled Manual"/>
    <s v="No"/>
    <n v="1"/>
    <x v="3"/>
    <x v="2"/>
    <n v="27"/>
    <x v="2"/>
    <x v="0"/>
  </r>
  <r>
    <n v="16753"/>
    <x v="1"/>
    <x v="0"/>
    <n v="70000"/>
    <x v="3"/>
    <x v="1"/>
    <s v="Skilled Manual"/>
    <s v="Yes"/>
    <n v="2"/>
    <x v="2"/>
    <x v="2"/>
    <n v="34"/>
    <x v="0"/>
    <x v="1"/>
  </r>
  <r>
    <n v="14608"/>
    <x v="0"/>
    <x v="1"/>
    <n v="50000"/>
    <x v="5"/>
    <x v="0"/>
    <s v="Skilled Manual"/>
    <s v="Yes"/>
    <n v="3"/>
    <x v="4"/>
    <x v="2"/>
    <n v="42"/>
    <x v="0"/>
    <x v="0"/>
  </r>
  <r>
    <n v="24979"/>
    <x v="0"/>
    <x v="0"/>
    <n v="60000"/>
    <x v="4"/>
    <x v="1"/>
    <s v="Professional"/>
    <s v="Yes"/>
    <n v="2"/>
    <x v="1"/>
    <x v="2"/>
    <n v="57"/>
    <x v="1"/>
    <x v="1"/>
  </r>
  <r>
    <n v="13313"/>
    <x v="0"/>
    <x v="0"/>
    <n v="120000"/>
    <x v="0"/>
    <x v="2"/>
    <s v="Professional"/>
    <s v="No"/>
    <n v="4"/>
    <x v="1"/>
    <x v="2"/>
    <n v="45"/>
    <x v="0"/>
    <x v="0"/>
  </r>
  <r>
    <n v="18952"/>
    <x v="0"/>
    <x v="0"/>
    <n v="100000"/>
    <x v="5"/>
    <x v="0"/>
    <s v="Management"/>
    <s v="Yes"/>
    <n v="4"/>
    <x v="0"/>
    <x v="2"/>
    <n v="40"/>
    <x v="0"/>
    <x v="0"/>
  </r>
  <r>
    <n v="17699"/>
    <x v="0"/>
    <x v="1"/>
    <n v="60000"/>
    <x v="0"/>
    <x v="4"/>
    <s v="Skilled Manual"/>
    <s v="No"/>
    <n v="0"/>
    <x v="0"/>
    <x v="2"/>
    <n v="55"/>
    <x v="1"/>
    <x v="0"/>
  </r>
  <r>
    <n v="14657"/>
    <x v="0"/>
    <x v="1"/>
    <n v="80000"/>
    <x v="0"/>
    <x v="1"/>
    <s v="Skilled Manual"/>
    <s v="No"/>
    <n v="1"/>
    <x v="0"/>
    <x v="2"/>
    <n v="47"/>
    <x v="0"/>
    <x v="1"/>
  </r>
  <r>
    <n v="11540"/>
    <x v="1"/>
    <x v="1"/>
    <n v="60000"/>
    <x v="5"/>
    <x v="4"/>
    <s v="Skilled Manual"/>
    <s v="Yes"/>
    <n v="0"/>
    <x v="3"/>
    <x v="2"/>
    <n v="47"/>
    <x v="0"/>
    <x v="1"/>
  </r>
  <r>
    <n v="11783"/>
    <x v="0"/>
    <x v="0"/>
    <n v="60000"/>
    <x v="0"/>
    <x v="4"/>
    <s v="Skilled Manual"/>
    <s v="Yes"/>
    <n v="0"/>
    <x v="0"/>
    <x v="2"/>
    <n v="34"/>
    <x v="0"/>
    <x v="0"/>
  </r>
  <r>
    <n v="14602"/>
    <x v="0"/>
    <x v="0"/>
    <n v="80000"/>
    <x v="1"/>
    <x v="4"/>
    <s v="Professional"/>
    <s v="Yes"/>
    <n v="0"/>
    <x v="0"/>
    <x v="2"/>
    <n v="36"/>
    <x v="0"/>
    <x v="1"/>
  </r>
  <r>
    <n v="29030"/>
    <x v="0"/>
    <x v="1"/>
    <n v="70000"/>
    <x v="4"/>
    <x v="3"/>
    <s v="Skilled Manual"/>
    <s v="Yes"/>
    <n v="2"/>
    <x v="4"/>
    <x v="2"/>
    <n v="54"/>
    <x v="0"/>
    <x v="0"/>
  </r>
  <r>
    <n v="26490"/>
    <x v="1"/>
    <x v="1"/>
    <n v="70000"/>
    <x v="4"/>
    <x v="0"/>
    <s v="Management"/>
    <s v="No"/>
    <n v="1"/>
    <x v="1"/>
    <x v="2"/>
    <n v="59"/>
    <x v="1"/>
    <x v="1"/>
  </r>
  <r>
    <n v="13151"/>
    <x v="1"/>
    <x v="1"/>
    <n v="40000"/>
    <x v="3"/>
    <x v="2"/>
    <s v="Skilled Manual"/>
    <s v="Yes"/>
    <n v="2"/>
    <x v="2"/>
    <x v="2"/>
    <n v="27"/>
    <x v="2"/>
    <x v="0"/>
  </r>
  <r>
    <n v="17260"/>
    <x v="0"/>
    <x v="1"/>
    <n v="90000"/>
    <x v="2"/>
    <x v="1"/>
    <s v="Professional"/>
    <s v="Yes"/>
    <n v="3"/>
    <x v="0"/>
    <x v="2"/>
    <n v="41"/>
    <x v="0"/>
    <x v="0"/>
  </r>
  <r>
    <n v="15372"/>
    <x v="0"/>
    <x v="1"/>
    <n v="80000"/>
    <x v="1"/>
    <x v="1"/>
    <s v="Professional"/>
    <s v="No"/>
    <n v="2"/>
    <x v="1"/>
    <x v="2"/>
    <n v="50"/>
    <x v="0"/>
    <x v="1"/>
  </r>
  <r>
    <n v="18105"/>
    <x v="0"/>
    <x v="0"/>
    <n v="60000"/>
    <x v="4"/>
    <x v="1"/>
    <s v="Professional"/>
    <s v="Yes"/>
    <n v="1"/>
    <x v="4"/>
    <x v="2"/>
    <n v="55"/>
    <x v="1"/>
    <x v="0"/>
  </r>
  <r>
    <n v="19660"/>
    <x v="0"/>
    <x v="1"/>
    <n v="80000"/>
    <x v="5"/>
    <x v="0"/>
    <s v="Management"/>
    <s v="Yes"/>
    <n v="0"/>
    <x v="0"/>
    <x v="2"/>
    <n v="43"/>
    <x v="0"/>
    <x v="0"/>
  </r>
  <r>
    <n v="16112"/>
    <x v="1"/>
    <x v="1"/>
    <n v="70000"/>
    <x v="5"/>
    <x v="0"/>
    <s v="Professional"/>
    <s v="Yes"/>
    <n v="2"/>
    <x v="1"/>
    <x v="2"/>
    <n v="43"/>
    <x v="0"/>
    <x v="1"/>
  </r>
  <r>
    <n v="20698"/>
    <x v="0"/>
    <x v="1"/>
    <n v="60000"/>
    <x v="5"/>
    <x v="0"/>
    <s v="Skilled Manual"/>
    <s v="Yes"/>
    <n v="3"/>
    <x v="2"/>
    <x v="2"/>
    <n v="42"/>
    <x v="0"/>
    <x v="0"/>
  </r>
  <r>
    <n v="20076"/>
    <x v="1"/>
    <x v="0"/>
    <n v="10000"/>
    <x v="4"/>
    <x v="2"/>
    <s v="Manual"/>
    <s v="Yes"/>
    <n v="2"/>
    <x v="3"/>
    <x v="2"/>
    <n v="53"/>
    <x v="0"/>
    <x v="1"/>
  </r>
  <r>
    <n v="24496"/>
    <x v="1"/>
    <x v="0"/>
    <n v="40000"/>
    <x v="3"/>
    <x v="2"/>
    <s v="Skilled Manual"/>
    <s v="No"/>
    <n v="2"/>
    <x v="0"/>
    <x v="2"/>
    <n v="28"/>
    <x v="2"/>
    <x v="1"/>
  </r>
  <r>
    <n v="15468"/>
    <x v="0"/>
    <x v="0"/>
    <n v="50000"/>
    <x v="0"/>
    <x v="0"/>
    <s v="Skilled Manual"/>
    <s v="Yes"/>
    <n v="1"/>
    <x v="0"/>
    <x v="2"/>
    <n v="35"/>
    <x v="0"/>
    <x v="0"/>
  </r>
  <r>
    <n v="28031"/>
    <x v="1"/>
    <x v="0"/>
    <n v="70000"/>
    <x v="4"/>
    <x v="0"/>
    <s v="Management"/>
    <s v="No"/>
    <n v="1"/>
    <x v="1"/>
    <x v="2"/>
    <n v="59"/>
    <x v="1"/>
    <x v="1"/>
  </r>
  <r>
    <n v="26270"/>
    <x v="1"/>
    <x v="0"/>
    <n v="20000"/>
    <x v="4"/>
    <x v="3"/>
    <s v="Clerical"/>
    <s v="Yes"/>
    <n v="2"/>
    <x v="3"/>
    <x v="2"/>
    <n v="49"/>
    <x v="0"/>
    <x v="0"/>
  </r>
  <r>
    <n v="22221"/>
    <x v="0"/>
    <x v="1"/>
    <n v="60000"/>
    <x v="4"/>
    <x v="2"/>
    <s v="Professional"/>
    <s v="No"/>
    <n v="2"/>
    <x v="3"/>
    <x v="2"/>
    <n v="48"/>
    <x v="0"/>
    <x v="1"/>
  </r>
  <r>
    <n v="28228"/>
    <x v="1"/>
    <x v="0"/>
    <n v="80000"/>
    <x v="4"/>
    <x v="3"/>
    <s v="Skilled Manual"/>
    <s v="No"/>
    <n v="2"/>
    <x v="3"/>
    <x v="2"/>
    <n v="50"/>
    <x v="0"/>
    <x v="0"/>
  </r>
  <r>
    <n v="18363"/>
    <x v="0"/>
    <x v="1"/>
    <n v="40000"/>
    <x v="3"/>
    <x v="2"/>
    <s v="Skilled Manual"/>
    <s v="Yes"/>
    <n v="2"/>
    <x v="2"/>
    <x v="2"/>
    <n v="28"/>
    <x v="2"/>
    <x v="1"/>
  </r>
  <r>
    <n v="23256"/>
    <x v="1"/>
    <x v="1"/>
    <n v="30000"/>
    <x v="0"/>
    <x v="2"/>
    <s v="Clerical"/>
    <s v="No"/>
    <n v="1"/>
    <x v="2"/>
    <x v="2"/>
    <n v="52"/>
    <x v="0"/>
    <x v="0"/>
  </r>
  <r>
    <n v="12768"/>
    <x v="0"/>
    <x v="1"/>
    <n v="30000"/>
    <x v="0"/>
    <x v="2"/>
    <s v="Clerical"/>
    <s v="Yes"/>
    <n v="1"/>
    <x v="1"/>
    <x v="2"/>
    <n v="52"/>
    <x v="0"/>
    <x v="1"/>
  </r>
  <r>
    <n v="20361"/>
    <x v="0"/>
    <x v="1"/>
    <n v="50000"/>
    <x v="4"/>
    <x v="4"/>
    <s v="Management"/>
    <s v="Yes"/>
    <n v="2"/>
    <x v="2"/>
    <x v="2"/>
    <n v="69"/>
    <x v="1"/>
    <x v="0"/>
  </r>
  <r>
    <n v="21306"/>
    <x v="1"/>
    <x v="1"/>
    <n v="60000"/>
    <x v="4"/>
    <x v="2"/>
    <s v="Professional"/>
    <s v="Yes"/>
    <n v="2"/>
    <x v="2"/>
    <x v="2"/>
    <n v="51"/>
    <x v="0"/>
    <x v="0"/>
  </r>
  <r>
    <n v="13382"/>
    <x v="0"/>
    <x v="1"/>
    <n v="70000"/>
    <x v="2"/>
    <x v="1"/>
    <s v="Professional"/>
    <s v="Yes"/>
    <n v="2"/>
    <x v="3"/>
    <x v="2"/>
    <n v="57"/>
    <x v="1"/>
    <x v="1"/>
  </r>
  <r>
    <n v="20310"/>
    <x v="1"/>
    <x v="1"/>
    <n v="60000"/>
    <x v="3"/>
    <x v="1"/>
    <s v="Skilled Manual"/>
    <s v="Yes"/>
    <n v="1"/>
    <x v="2"/>
    <x v="2"/>
    <n v="27"/>
    <x v="2"/>
    <x v="1"/>
  </r>
  <r>
    <n v="22971"/>
    <x v="1"/>
    <x v="0"/>
    <n v="30000"/>
    <x v="3"/>
    <x v="2"/>
    <s v="Skilled Manual"/>
    <s v="No"/>
    <n v="2"/>
    <x v="0"/>
    <x v="2"/>
    <n v="25"/>
    <x v="2"/>
    <x v="1"/>
  </r>
  <r>
    <n v="15287"/>
    <x v="1"/>
    <x v="0"/>
    <n v="50000"/>
    <x v="0"/>
    <x v="4"/>
    <s v="Skilled Manual"/>
    <s v="Yes"/>
    <n v="0"/>
    <x v="3"/>
    <x v="2"/>
    <n v="33"/>
    <x v="0"/>
    <x v="1"/>
  </r>
  <r>
    <n v="15532"/>
    <x v="1"/>
    <x v="1"/>
    <n v="60000"/>
    <x v="5"/>
    <x v="0"/>
    <s v="Professional"/>
    <s v="Yes"/>
    <n v="2"/>
    <x v="1"/>
    <x v="2"/>
    <n v="43"/>
    <x v="0"/>
    <x v="1"/>
  </r>
  <r>
    <n v="11255"/>
    <x v="0"/>
    <x v="1"/>
    <n v="70000"/>
    <x v="5"/>
    <x v="4"/>
    <s v="Management"/>
    <s v="Yes"/>
    <n v="2"/>
    <x v="2"/>
    <x v="2"/>
    <n v="73"/>
    <x v="1"/>
    <x v="0"/>
  </r>
  <r>
    <n v="28090"/>
    <x v="0"/>
    <x v="1"/>
    <n v="40000"/>
    <x v="3"/>
    <x v="1"/>
    <s v="Skilled Manual"/>
    <s v="Yes"/>
    <n v="1"/>
    <x v="2"/>
    <x v="2"/>
    <n v="27"/>
    <x v="2"/>
    <x v="0"/>
  </r>
  <r>
    <n v="15255"/>
    <x v="0"/>
    <x v="1"/>
    <n v="40000"/>
    <x v="3"/>
    <x v="2"/>
    <s v="Skilled Manual"/>
    <s v="Yes"/>
    <n v="2"/>
    <x v="2"/>
    <x v="2"/>
    <n v="28"/>
    <x v="2"/>
    <x v="1"/>
  </r>
  <r>
    <n v="13154"/>
    <x v="0"/>
    <x v="1"/>
    <n v="40000"/>
    <x v="3"/>
    <x v="2"/>
    <s v="Skilled Manual"/>
    <s v="No"/>
    <n v="2"/>
    <x v="0"/>
    <x v="2"/>
    <n v="27"/>
    <x v="2"/>
    <x v="1"/>
  </r>
  <r>
    <n v="26778"/>
    <x v="1"/>
    <x v="0"/>
    <n v="40000"/>
    <x v="3"/>
    <x v="2"/>
    <s v="Skilled Manual"/>
    <s v="Yes"/>
    <n v="2"/>
    <x v="2"/>
    <x v="2"/>
    <n v="31"/>
    <x v="0"/>
    <x v="0"/>
  </r>
  <r>
    <n v="23248"/>
    <x v="0"/>
    <x v="0"/>
    <n v="10000"/>
    <x v="4"/>
    <x v="2"/>
    <s v="Manual"/>
    <s v="Yes"/>
    <n v="2"/>
    <x v="3"/>
    <x v="2"/>
    <n v="53"/>
    <x v="0"/>
    <x v="0"/>
  </r>
  <r>
    <n v="21417"/>
    <x v="1"/>
    <x v="0"/>
    <n v="60000"/>
    <x v="3"/>
    <x v="1"/>
    <s v="Professional"/>
    <s v="No"/>
    <n v="2"/>
    <x v="3"/>
    <x v="2"/>
    <n v="32"/>
    <x v="0"/>
    <x v="1"/>
  </r>
  <r>
    <n v="17668"/>
    <x v="1"/>
    <x v="1"/>
    <n v="30000"/>
    <x v="4"/>
    <x v="2"/>
    <s v="Skilled Manual"/>
    <s v="Yes"/>
    <n v="2"/>
    <x v="3"/>
    <x v="2"/>
    <n v="50"/>
    <x v="0"/>
    <x v="1"/>
  </r>
  <r>
    <n v="27994"/>
    <x v="0"/>
    <x v="0"/>
    <n v="40000"/>
    <x v="5"/>
    <x v="2"/>
    <s v="Professional"/>
    <s v="Yes"/>
    <n v="2"/>
    <x v="2"/>
    <x v="2"/>
    <n v="69"/>
    <x v="1"/>
    <x v="0"/>
  </r>
  <r>
    <n v="20376"/>
    <x v="1"/>
    <x v="0"/>
    <n v="70000"/>
    <x v="1"/>
    <x v="4"/>
    <s v="Management"/>
    <s v="Yes"/>
    <n v="2"/>
    <x v="2"/>
    <x v="2"/>
    <n v="52"/>
    <x v="0"/>
    <x v="1"/>
  </r>
  <r>
    <n v="25954"/>
    <x v="0"/>
    <x v="1"/>
    <n v="60000"/>
    <x v="3"/>
    <x v="1"/>
    <s v="Skilled Manual"/>
    <s v="No"/>
    <n v="2"/>
    <x v="3"/>
    <x v="2"/>
    <n v="31"/>
    <x v="0"/>
    <x v="0"/>
  </r>
  <r>
    <n v="15749"/>
    <x v="1"/>
    <x v="0"/>
    <n v="70000"/>
    <x v="5"/>
    <x v="0"/>
    <s v="Management"/>
    <s v="Yes"/>
    <n v="2"/>
    <x v="4"/>
    <x v="2"/>
    <n v="61"/>
    <x v="1"/>
    <x v="0"/>
  </r>
  <r>
    <n v="25899"/>
    <x v="0"/>
    <x v="0"/>
    <n v="70000"/>
    <x v="4"/>
    <x v="2"/>
    <s v="Professional"/>
    <s v="Yes"/>
    <n v="2"/>
    <x v="4"/>
    <x v="2"/>
    <n v="53"/>
    <x v="0"/>
    <x v="0"/>
  </r>
  <r>
    <n v="13351"/>
    <x v="1"/>
    <x v="0"/>
    <n v="70000"/>
    <x v="5"/>
    <x v="0"/>
    <s v="Management"/>
    <s v="Yes"/>
    <n v="2"/>
    <x v="3"/>
    <x v="2"/>
    <n v="62"/>
    <x v="1"/>
    <x v="1"/>
  </r>
  <r>
    <n v="23333"/>
    <x v="0"/>
    <x v="1"/>
    <n v="40000"/>
    <x v="3"/>
    <x v="1"/>
    <s v="Skilled Manual"/>
    <s v="No"/>
    <n v="2"/>
    <x v="3"/>
    <x v="2"/>
    <n v="30"/>
    <x v="2"/>
    <x v="0"/>
  </r>
  <r>
    <n v="21660"/>
    <x v="0"/>
    <x v="0"/>
    <n v="60000"/>
    <x v="1"/>
    <x v="4"/>
    <s v="Professional"/>
    <s v="Yes"/>
    <n v="0"/>
    <x v="1"/>
    <x v="2"/>
    <n v="43"/>
    <x v="0"/>
    <x v="1"/>
  </r>
  <r>
    <n v="17012"/>
    <x v="0"/>
    <x v="0"/>
    <n v="60000"/>
    <x v="1"/>
    <x v="4"/>
    <s v="Professional"/>
    <s v="Yes"/>
    <n v="0"/>
    <x v="1"/>
    <x v="2"/>
    <n v="42"/>
    <x v="0"/>
    <x v="1"/>
  </r>
  <r>
    <n v="24514"/>
    <x v="0"/>
    <x v="1"/>
    <n v="40000"/>
    <x v="3"/>
    <x v="1"/>
    <s v="Skilled Manual"/>
    <s v="Yes"/>
    <n v="1"/>
    <x v="2"/>
    <x v="2"/>
    <n v="30"/>
    <x v="2"/>
    <x v="0"/>
  </r>
  <r>
    <n v="27505"/>
    <x v="1"/>
    <x v="0"/>
    <n v="40000"/>
    <x v="3"/>
    <x v="2"/>
    <s v="Skilled Manual"/>
    <s v="Yes"/>
    <n v="2"/>
    <x v="2"/>
    <x v="2"/>
    <n v="30"/>
    <x v="2"/>
    <x v="0"/>
  </r>
  <r>
    <n v="29243"/>
    <x v="1"/>
    <x v="1"/>
    <n v="110000"/>
    <x v="0"/>
    <x v="0"/>
    <s v="Management"/>
    <s v="Yes"/>
    <n v="1"/>
    <x v="2"/>
    <x v="2"/>
    <n v="43"/>
    <x v="0"/>
    <x v="0"/>
  </r>
  <r>
    <n v="26582"/>
    <x v="0"/>
    <x v="1"/>
    <n v="60000"/>
    <x v="3"/>
    <x v="1"/>
    <s v="Skilled Manual"/>
    <s v="Yes"/>
    <n v="2"/>
    <x v="2"/>
    <x v="2"/>
    <n v="33"/>
    <x v="0"/>
    <x v="1"/>
  </r>
  <r>
    <n v="14271"/>
    <x v="0"/>
    <x v="1"/>
    <n v="30000"/>
    <x v="3"/>
    <x v="2"/>
    <s v="Skilled Manual"/>
    <s v="Yes"/>
    <n v="2"/>
    <x v="2"/>
    <x v="2"/>
    <n v="32"/>
    <x v="0"/>
    <x v="0"/>
  </r>
  <r>
    <n v="23041"/>
    <x v="1"/>
    <x v="0"/>
    <n v="70000"/>
    <x v="5"/>
    <x v="2"/>
    <s v="Professional"/>
    <s v="Yes"/>
    <n v="0"/>
    <x v="2"/>
    <x v="2"/>
    <n v="50"/>
    <x v="0"/>
    <x v="1"/>
  </r>
  <r>
    <n v="29048"/>
    <x v="1"/>
    <x v="1"/>
    <n v="110000"/>
    <x v="4"/>
    <x v="0"/>
    <s v="Management"/>
    <s v="No"/>
    <n v="3"/>
    <x v="0"/>
    <x v="2"/>
    <n v="37"/>
    <x v="0"/>
    <x v="1"/>
  </r>
  <r>
    <n v="24433"/>
    <x v="0"/>
    <x v="1"/>
    <n v="70000"/>
    <x v="1"/>
    <x v="2"/>
    <s v="Professional"/>
    <s v="No"/>
    <n v="1"/>
    <x v="3"/>
    <x v="2"/>
    <n v="52"/>
    <x v="0"/>
    <x v="1"/>
  </r>
  <r>
    <n v="15501"/>
    <x v="0"/>
    <x v="1"/>
    <n v="70000"/>
    <x v="5"/>
    <x v="4"/>
    <s v="Professional"/>
    <s v="Yes"/>
    <n v="0"/>
    <x v="1"/>
    <x v="2"/>
    <n v="36"/>
    <x v="0"/>
    <x v="1"/>
  </r>
  <r>
    <n v="13911"/>
    <x v="1"/>
    <x v="0"/>
    <n v="80000"/>
    <x v="1"/>
    <x v="0"/>
    <s v="Skilled Manual"/>
    <s v="Yes"/>
    <n v="2"/>
    <x v="1"/>
    <x v="2"/>
    <n v="41"/>
    <x v="0"/>
    <x v="1"/>
  </r>
  <r>
    <n v="20421"/>
    <x v="1"/>
    <x v="0"/>
    <n v="40000"/>
    <x v="3"/>
    <x v="3"/>
    <s v="Clerical"/>
    <s v="Yes"/>
    <n v="2"/>
    <x v="2"/>
    <x v="2"/>
    <n v="26"/>
    <x v="2"/>
    <x v="0"/>
  </r>
  <r>
    <n v="16009"/>
    <x v="1"/>
    <x v="1"/>
    <n v="170000"/>
    <x v="0"/>
    <x v="4"/>
    <s v="Management"/>
    <s v="No"/>
    <n v="4"/>
    <x v="0"/>
    <x v="2"/>
    <n v="66"/>
    <x v="1"/>
    <x v="0"/>
  </r>
  <r>
    <n v="18411"/>
    <x v="0"/>
    <x v="1"/>
    <n v="60000"/>
    <x v="4"/>
    <x v="2"/>
    <s v="Professional"/>
    <s v="No"/>
    <n v="2"/>
    <x v="2"/>
    <x v="2"/>
    <n v="51"/>
    <x v="0"/>
    <x v="0"/>
  </r>
  <r>
    <n v="19163"/>
    <x v="0"/>
    <x v="0"/>
    <n v="70000"/>
    <x v="5"/>
    <x v="0"/>
    <s v="Professional"/>
    <s v="Yes"/>
    <n v="2"/>
    <x v="0"/>
    <x v="2"/>
    <n v="43"/>
    <x v="0"/>
    <x v="1"/>
  </r>
  <r>
    <n v="18572"/>
    <x v="0"/>
    <x v="0"/>
    <n v="60000"/>
    <x v="3"/>
    <x v="4"/>
    <s v="Professional"/>
    <s v="Yes"/>
    <n v="0"/>
    <x v="0"/>
    <x v="2"/>
    <n v="39"/>
    <x v="0"/>
    <x v="0"/>
  </r>
  <r>
    <n v="27540"/>
    <x v="1"/>
    <x v="0"/>
    <n v="70000"/>
    <x v="3"/>
    <x v="0"/>
    <s v="Professional"/>
    <s v="No"/>
    <n v="1"/>
    <x v="0"/>
    <x v="2"/>
    <n v="37"/>
    <x v="0"/>
    <x v="1"/>
  </r>
  <r>
    <n v="19889"/>
    <x v="1"/>
    <x v="0"/>
    <n v="70000"/>
    <x v="4"/>
    <x v="3"/>
    <s v="Skilled Manual"/>
    <s v="No"/>
    <n v="2"/>
    <x v="1"/>
    <x v="2"/>
    <n v="54"/>
    <x v="0"/>
    <x v="1"/>
  </r>
  <r>
    <n v="12922"/>
    <x v="1"/>
    <x v="0"/>
    <n v="60000"/>
    <x v="1"/>
    <x v="0"/>
    <s v="Skilled Manual"/>
    <s v="Yes"/>
    <n v="0"/>
    <x v="1"/>
    <x v="2"/>
    <n v="40"/>
    <x v="0"/>
    <x v="1"/>
  </r>
  <r>
    <n v="18891"/>
    <x v="0"/>
    <x v="0"/>
    <n v="40000"/>
    <x v="3"/>
    <x v="1"/>
    <s v="Skilled Manual"/>
    <s v="Yes"/>
    <n v="2"/>
    <x v="2"/>
    <x v="2"/>
    <n v="28"/>
    <x v="2"/>
    <x v="0"/>
  </r>
  <r>
    <n v="16773"/>
    <x v="0"/>
    <x v="1"/>
    <n v="60000"/>
    <x v="0"/>
    <x v="4"/>
    <s v="Skilled Manual"/>
    <s v="Yes"/>
    <n v="0"/>
    <x v="0"/>
    <x v="2"/>
    <n v="33"/>
    <x v="0"/>
    <x v="0"/>
  </r>
  <r>
    <n v="19143"/>
    <x v="1"/>
    <x v="0"/>
    <n v="80000"/>
    <x v="1"/>
    <x v="0"/>
    <s v="Skilled Manual"/>
    <s v="Yes"/>
    <n v="2"/>
    <x v="1"/>
    <x v="2"/>
    <n v="41"/>
    <x v="0"/>
    <x v="1"/>
  </r>
  <r>
    <n v="23882"/>
    <x v="1"/>
    <x v="0"/>
    <n v="80000"/>
    <x v="1"/>
    <x v="4"/>
    <s v="Professional"/>
    <s v="Yes"/>
    <n v="0"/>
    <x v="0"/>
    <x v="2"/>
    <n v="37"/>
    <x v="0"/>
    <x v="1"/>
  </r>
  <r>
    <n v="11233"/>
    <x v="0"/>
    <x v="1"/>
    <n v="70000"/>
    <x v="5"/>
    <x v="1"/>
    <s v="Professional"/>
    <s v="Yes"/>
    <n v="2"/>
    <x v="4"/>
    <x v="2"/>
    <n v="53"/>
    <x v="0"/>
    <x v="0"/>
  </r>
  <r>
    <n v="12056"/>
    <x v="0"/>
    <x v="1"/>
    <n v="120000"/>
    <x v="4"/>
    <x v="4"/>
    <s v="Management"/>
    <s v="Yes"/>
    <n v="3"/>
    <x v="2"/>
    <x v="2"/>
    <n v="64"/>
    <x v="1"/>
    <x v="0"/>
  </r>
  <r>
    <n v="15555"/>
    <x v="0"/>
    <x v="0"/>
    <n v="60000"/>
    <x v="0"/>
    <x v="1"/>
    <s v="Skilled Manual"/>
    <s v="Yes"/>
    <n v="1"/>
    <x v="1"/>
    <x v="2"/>
    <n v="45"/>
    <x v="0"/>
    <x v="1"/>
  </r>
  <r>
    <n v="18423"/>
    <x v="1"/>
    <x v="1"/>
    <n v="80000"/>
    <x v="4"/>
    <x v="3"/>
    <s v="Skilled Manual"/>
    <s v="No"/>
    <n v="2"/>
    <x v="3"/>
    <x v="2"/>
    <n v="52"/>
    <x v="0"/>
    <x v="0"/>
  </r>
  <r>
    <n v="22743"/>
    <x v="0"/>
    <x v="0"/>
    <n v="40000"/>
    <x v="2"/>
    <x v="2"/>
    <s v="Professional"/>
    <s v="Yes"/>
    <n v="2"/>
    <x v="4"/>
    <x v="2"/>
    <n v="60"/>
    <x v="1"/>
    <x v="0"/>
  </r>
  <r>
    <n v="25343"/>
    <x v="1"/>
    <x v="0"/>
    <n v="20000"/>
    <x v="1"/>
    <x v="3"/>
    <s v="Clerical"/>
    <s v="Yes"/>
    <n v="2"/>
    <x v="3"/>
    <x v="2"/>
    <n v="50"/>
    <x v="0"/>
    <x v="0"/>
  </r>
  <r>
    <n v="13390"/>
    <x v="0"/>
    <x v="0"/>
    <n v="70000"/>
    <x v="5"/>
    <x v="1"/>
    <s v="Professional"/>
    <s v="No"/>
    <n v="1"/>
    <x v="3"/>
    <x v="2"/>
    <n v="56"/>
    <x v="1"/>
    <x v="0"/>
  </r>
  <r>
    <n v="17482"/>
    <x v="1"/>
    <x v="0"/>
    <n v="40000"/>
    <x v="3"/>
    <x v="3"/>
    <s v="Clerical"/>
    <s v="Yes"/>
    <n v="2"/>
    <x v="2"/>
    <x v="2"/>
    <n v="29"/>
    <x v="2"/>
    <x v="0"/>
  </r>
  <r>
    <n v="13176"/>
    <x v="1"/>
    <x v="1"/>
    <n v="130000"/>
    <x v="3"/>
    <x v="4"/>
    <s v="Management"/>
    <s v="No"/>
    <n v="2"/>
    <x v="0"/>
    <x v="2"/>
    <n v="38"/>
    <x v="0"/>
    <x v="1"/>
  </r>
  <r>
    <n v="20504"/>
    <x v="0"/>
    <x v="0"/>
    <n v="40000"/>
    <x v="2"/>
    <x v="2"/>
    <s v="Professional"/>
    <s v="No"/>
    <n v="2"/>
    <x v="1"/>
    <x v="2"/>
    <n v="60"/>
    <x v="1"/>
    <x v="0"/>
  </r>
  <r>
    <n v="12205"/>
    <x v="1"/>
    <x v="0"/>
    <n v="130000"/>
    <x v="4"/>
    <x v="0"/>
    <s v="Management"/>
    <s v="No"/>
    <n v="4"/>
    <x v="0"/>
    <x v="2"/>
    <n v="67"/>
    <x v="1"/>
    <x v="0"/>
  </r>
  <r>
    <n v="16751"/>
    <x v="0"/>
    <x v="1"/>
    <n v="60000"/>
    <x v="3"/>
    <x v="1"/>
    <s v="Skilled Manual"/>
    <s v="Yes"/>
    <n v="1"/>
    <x v="2"/>
    <x v="2"/>
    <n v="32"/>
    <x v="0"/>
    <x v="1"/>
  </r>
  <r>
    <n v="21613"/>
    <x v="1"/>
    <x v="1"/>
    <n v="50000"/>
    <x v="4"/>
    <x v="0"/>
    <s v="Skilled Manual"/>
    <s v="No"/>
    <n v="1"/>
    <x v="0"/>
    <x v="2"/>
    <n v="39"/>
    <x v="0"/>
    <x v="1"/>
  </r>
  <r>
    <n v="24801"/>
    <x v="1"/>
    <x v="1"/>
    <n v="60000"/>
    <x v="0"/>
    <x v="4"/>
    <s v="Professional"/>
    <s v="Yes"/>
    <n v="0"/>
    <x v="1"/>
    <x v="2"/>
    <n v="35"/>
    <x v="0"/>
    <x v="1"/>
  </r>
  <r>
    <n v="17519"/>
    <x v="0"/>
    <x v="0"/>
    <n v="60000"/>
    <x v="3"/>
    <x v="1"/>
    <s v="Professional"/>
    <s v="Yes"/>
    <n v="2"/>
    <x v="2"/>
    <x v="2"/>
    <n v="32"/>
    <x v="0"/>
    <x v="0"/>
  </r>
  <r>
    <n v="18347"/>
    <x v="1"/>
    <x v="0"/>
    <n v="30000"/>
    <x v="3"/>
    <x v="1"/>
    <s v="Skilled Manual"/>
    <s v="No"/>
    <n v="1"/>
    <x v="3"/>
    <x v="2"/>
    <n v="31"/>
    <x v="0"/>
    <x v="0"/>
  </r>
  <r>
    <n v="29052"/>
    <x v="1"/>
    <x v="1"/>
    <n v="40000"/>
    <x v="3"/>
    <x v="1"/>
    <s v="Skilled Manual"/>
    <s v="Yes"/>
    <n v="1"/>
    <x v="2"/>
    <x v="2"/>
    <n v="27"/>
    <x v="2"/>
    <x v="0"/>
  </r>
  <r>
    <n v="11745"/>
    <x v="0"/>
    <x v="0"/>
    <n v="60000"/>
    <x v="0"/>
    <x v="0"/>
    <s v="Professional"/>
    <s v="Yes"/>
    <n v="1"/>
    <x v="0"/>
    <x v="2"/>
    <n v="47"/>
    <x v="0"/>
    <x v="1"/>
  </r>
  <r>
    <n v="19147"/>
    <x v="0"/>
    <x v="1"/>
    <n v="40000"/>
    <x v="3"/>
    <x v="0"/>
    <s v="Professional"/>
    <s v="No"/>
    <n v="1"/>
    <x v="0"/>
    <x v="2"/>
    <n v="42"/>
    <x v="0"/>
    <x v="0"/>
  </r>
  <r>
    <n v="19217"/>
    <x v="0"/>
    <x v="1"/>
    <n v="30000"/>
    <x v="4"/>
    <x v="2"/>
    <s v="Skilled Manual"/>
    <s v="Yes"/>
    <n v="2"/>
    <x v="3"/>
    <x v="2"/>
    <n v="49"/>
    <x v="0"/>
    <x v="0"/>
  </r>
  <r>
    <n v="15839"/>
    <x v="1"/>
    <x v="1"/>
    <n v="30000"/>
    <x v="3"/>
    <x v="1"/>
    <s v="Skilled Manual"/>
    <s v="Yes"/>
    <n v="1"/>
    <x v="2"/>
    <x v="2"/>
    <n v="32"/>
    <x v="0"/>
    <x v="0"/>
  </r>
  <r>
    <n v="13714"/>
    <x v="0"/>
    <x v="0"/>
    <n v="20000"/>
    <x v="4"/>
    <x v="2"/>
    <s v="Manual"/>
    <s v="No"/>
    <n v="2"/>
    <x v="3"/>
    <x v="2"/>
    <n v="53"/>
    <x v="0"/>
    <x v="1"/>
  </r>
  <r>
    <n v="22330"/>
    <x v="0"/>
    <x v="1"/>
    <n v="50000"/>
    <x v="3"/>
    <x v="4"/>
    <s v="Skilled Manual"/>
    <s v="Yes"/>
    <n v="0"/>
    <x v="3"/>
    <x v="2"/>
    <n v="32"/>
    <x v="0"/>
    <x v="1"/>
  </r>
  <r>
    <n v="18783"/>
    <x v="1"/>
    <x v="1"/>
    <n v="80000"/>
    <x v="3"/>
    <x v="0"/>
    <s v="Management"/>
    <s v="No"/>
    <n v="1"/>
    <x v="0"/>
    <x v="2"/>
    <n v="38"/>
    <x v="0"/>
    <x v="1"/>
  </r>
  <r>
    <n v="25041"/>
    <x v="1"/>
    <x v="1"/>
    <n v="40000"/>
    <x v="3"/>
    <x v="2"/>
    <s v="Skilled Manual"/>
    <s v="Yes"/>
    <n v="2"/>
    <x v="2"/>
    <x v="2"/>
    <n v="31"/>
    <x v="0"/>
    <x v="0"/>
  </r>
  <r>
    <n v="22046"/>
    <x v="1"/>
    <x v="0"/>
    <n v="80000"/>
    <x v="3"/>
    <x v="0"/>
    <s v="Management"/>
    <s v="No"/>
    <n v="1"/>
    <x v="0"/>
    <x v="2"/>
    <n v="38"/>
    <x v="0"/>
    <x v="1"/>
  </r>
  <r>
    <n v="28052"/>
    <x v="0"/>
    <x v="1"/>
    <n v="60000"/>
    <x v="4"/>
    <x v="2"/>
    <s v="Professional"/>
    <s v="Yes"/>
    <n v="2"/>
    <x v="4"/>
    <x v="2"/>
    <n v="55"/>
    <x v="1"/>
    <x v="0"/>
  </r>
  <r>
    <n v="26693"/>
    <x v="0"/>
    <x v="1"/>
    <n v="70000"/>
    <x v="1"/>
    <x v="1"/>
    <s v="Professional"/>
    <s v="Yes"/>
    <n v="1"/>
    <x v="2"/>
    <x v="2"/>
    <n v="49"/>
    <x v="0"/>
    <x v="0"/>
  </r>
  <r>
    <n v="24955"/>
    <x v="1"/>
    <x v="1"/>
    <n v="30000"/>
    <x v="2"/>
    <x v="3"/>
    <s v="Skilled Manual"/>
    <s v="Yes"/>
    <n v="3"/>
    <x v="4"/>
    <x v="2"/>
    <n v="60"/>
    <x v="1"/>
    <x v="1"/>
  </r>
  <r>
    <n v="26065"/>
    <x v="1"/>
    <x v="0"/>
    <n v="110000"/>
    <x v="1"/>
    <x v="0"/>
    <s v="Management"/>
    <s v="No"/>
    <n v="4"/>
    <x v="3"/>
    <x v="2"/>
    <n v="42"/>
    <x v="0"/>
    <x v="0"/>
  </r>
  <r>
    <n v="13942"/>
    <x v="0"/>
    <x v="1"/>
    <n v="60000"/>
    <x v="0"/>
    <x v="1"/>
    <s v="Skilled Manual"/>
    <s v="Yes"/>
    <n v="1"/>
    <x v="0"/>
    <x v="2"/>
    <n v="46"/>
    <x v="0"/>
    <x v="0"/>
  </r>
  <r>
    <n v="11219"/>
    <x v="0"/>
    <x v="1"/>
    <n v="60000"/>
    <x v="4"/>
    <x v="2"/>
    <s v="Professional"/>
    <s v="Yes"/>
    <n v="2"/>
    <x v="4"/>
    <x v="2"/>
    <n v="55"/>
    <x v="1"/>
    <x v="0"/>
  </r>
  <r>
    <n v="22118"/>
    <x v="1"/>
    <x v="0"/>
    <n v="70000"/>
    <x v="1"/>
    <x v="4"/>
    <s v="Management"/>
    <s v="Yes"/>
    <n v="2"/>
    <x v="2"/>
    <x v="2"/>
    <n v="53"/>
    <x v="0"/>
    <x v="1"/>
  </r>
  <r>
    <n v="23197"/>
    <x v="0"/>
    <x v="1"/>
    <n v="50000"/>
    <x v="1"/>
    <x v="0"/>
    <s v="Skilled Manual"/>
    <s v="Yes"/>
    <n v="2"/>
    <x v="1"/>
    <x v="2"/>
    <n v="40"/>
    <x v="0"/>
    <x v="0"/>
  </r>
  <r>
    <n v="14883"/>
    <x v="0"/>
    <x v="0"/>
    <n v="30000"/>
    <x v="0"/>
    <x v="0"/>
    <s v="Skilled Manual"/>
    <s v="Yes"/>
    <n v="1"/>
    <x v="2"/>
    <x v="2"/>
    <n v="53"/>
    <x v="0"/>
    <x v="1"/>
  </r>
  <r>
    <n v="27279"/>
    <x v="1"/>
    <x v="0"/>
    <n v="70000"/>
    <x v="4"/>
    <x v="0"/>
    <s v="Skilled Manual"/>
    <s v="Yes"/>
    <n v="0"/>
    <x v="1"/>
    <x v="2"/>
    <n v="38"/>
    <x v="0"/>
    <x v="1"/>
  </r>
  <r>
    <n v="18322"/>
    <x v="1"/>
    <x v="1"/>
    <n v="30000"/>
    <x v="3"/>
    <x v="3"/>
    <s v="Clerical"/>
    <s v="No"/>
    <n v="2"/>
    <x v="0"/>
    <x v="2"/>
    <n v="26"/>
    <x v="2"/>
    <x v="0"/>
  </r>
  <r>
    <n v="15879"/>
    <x v="0"/>
    <x v="1"/>
    <n v="70000"/>
    <x v="2"/>
    <x v="0"/>
    <s v="Management"/>
    <s v="Yes"/>
    <n v="2"/>
    <x v="1"/>
    <x v="2"/>
    <n v="61"/>
    <x v="1"/>
    <x v="0"/>
  </r>
  <r>
    <n v="28278"/>
    <x v="0"/>
    <x v="1"/>
    <n v="50000"/>
    <x v="4"/>
    <x v="4"/>
    <s v="Management"/>
    <s v="Yes"/>
    <n v="2"/>
    <x v="2"/>
    <x v="2"/>
    <n v="71"/>
    <x v="1"/>
    <x v="0"/>
  </r>
  <r>
    <n v="24416"/>
    <x v="0"/>
    <x v="1"/>
    <n v="90000"/>
    <x v="5"/>
    <x v="2"/>
    <s v="Professional"/>
    <s v="Yes"/>
    <n v="2"/>
    <x v="3"/>
    <x v="2"/>
    <n v="45"/>
    <x v="0"/>
    <x v="0"/>
  </r>
  <r>
    <n v="28066"/>
    <x v="0"/>
    <x v="1"/>
    <n v="80000"/>
    <x v="4"/>
    <x v="4"/>
    <s v="Professional"/>
    <s v="Yes"/>
    <n v="0"/>
    <x v="0"/>
    <x v="2"/>
    <n v="37"/>
    <x v="0"/>
    <x v="1"/>
  </r>
  <r>
    <n v="11275"/>
    <x v="0"/>
    <x v="0"/>
    <n v="80000"/>
    <x v="5"/>
    <x v="4"/>
    <s v="Management"/>
    <s v="Yes"/>
    <n v="2"/>
    <x v="0"/>
    <x v="2"/>
    <n v="72"/>
    <x v="1"/>
    <x v="1"/>
  </r>
  <r>
    <n v="14872"/>
    <x v="0"/>
    <x v="1"/>
    <n v="30000"/>
    <x v="3"/>
    <x v="4"/>
    <s v="Skilled Manual"/>
    <s v="Yes"/>
    <n v="0"/>
    <x v="0"/>
    <x v="2"/>
    <n v="32"/>
    <x v="0"/>
    <x v="0"/>
  </r>
  <r>
    <n v="16151"/>
    <x v="0"/>
    <x v="0"/>
    <n v="60000"/>
    <x v="0"/>
    <x v="0"/>
    <s v="Professional"/>
    <s v="Yes"/>
    <n v="1"/>
    <x v="1"/>
    <x v="2"/>
    <n v="48"/>
    <x v="0"/>
    <x v="1"/>
  </r>
  <r>
    <n v="19731"/>
    <x v="0"/>
    <x v="1"/>
    <n v="80000"/>
    <x v="5"/>
    <x v="4"/>
    <s v="Management"/>
    <s v="Yes"/>
    <n v="2"/>
    <x v="2"/>
    <x v="2"/>
    <n v="68"/>
    <x v="1"/>
    <x v="0"/>
  </r>
  <r>
    <n v="23801"/>
    <x v="0"/>
    <x v="0"/>
    <n v="20000"/>
    <x v="4"/>
    <x v="3"/>
    <s v="Clerical"/>
    <s v="Yes"/>
    <n v="2"/>
    <x v="0"/>
    <x v="2"/>
    <n v="49"/>
    <x v="0"/>
    <x v="0"/>
  </r>
  <r>
    <n v="11807"/>
    <x v="0"/>
    <x v="1"/>
    <n v="70000"/>
    <x v="1"/>
    <x v="4"/>
    <s v="Professional"/>
    <s v="Yes"/>
    <n v="0"/>
    <x v="1"/>
    <x v="2"/>
    <n v="34"/>
    <x v="0"/>
    <x v="0"/>
  </r>
  <r>
    <n v="11622"/>
    <x v="0"/>
    <x v="1"/>
    <n v="50000"/>
    <x v="3"/>
    <x v="4"/>
    <s v="Skilled Manual"/>
    <s v="Yes"/>
    <n v="0"/>
    <x v="0"/>
    <x v="2"/>
    <n v="32"/>
    <x v="0"/>
    <x v="0"/>
  </r>
  <r>
    <n v="26597"/>
    <x v="1"/>
    <x v="0"/>
    <n v="60000"/>
    <x v="5"/>
    <x v="0"/>
    <s v="Skilled Manual"/>
    <s v="No"/>
    <n v="2"/>
    <x v="0"/>
    <x v="2"/>
    <n v="42"/>
    <x v="0"/>
    <x v="0"/>
  </r>
  <r>
    <n v="27074"/>
    <x v="0"/>
    <x v="0"/>
    <n v="70000"/>
    <x v="0"/>
    <x v="4"/>
    <s v="Skilled Manual"/>
    <s v="Yes"/>
    <n v="0"/>
    <x v="0"/>
    <x v="2"/>
    <n v="35"/>
    <x v="0"/>
    <x v="1"/>
  </r>
  <r>
    <n v="19228"/>
    <x v="0"/>
    <x v="0"/>
    <n v="40000"/>
    <x v="4"/>
    <x v="1"/>
    <s v="Clerical"/>
    <s v="Yes"/>
    <n v="1"/>
    <x v="0"/>
    <x v="2"/>
    <n v="48"/>
    <x v="0"/>
    <x v="0"/>
  </r>
  <r>
    <n v="13415"/>
    <x v="1"/>
    <x v="1"/>
    <n v="100000"/>
    <x v="0"/>
    <x v="4"/>
    <s v="Management"/>
    <s v="Yes"/>
    <n v="3"/>
    <x v="1"/>
    <x v="2"/>
    <n v="73"/>
    <x v="1"/>
    <x v="1"/>
  </r>
  <r>
    <n v="17000"/>
    <x v="1"/>
    <x v="0"/>
    <n v="70000"/>
    <x v="5"/>
    <x v="0"/>
    <s v="Skilled Manual"/>
    <s v="Yes"/>
    <n v="2"/>
    <x v="1"/>
    <x v="2"/>
    <n v="43"/>
    <x v="0"/>
    <x v="1"/>
  </r>
  <r>
    <n v="14569"/>
    <x v="0"/>
    <x v="1"/>
    <n v="60000"/>
    <x v="0"/>
    <x v="4"/>
    <s v="Professional"/>
    <s v="Yes"/>
    <n v="0"/>
    <x v="0"/>
    <x v="2"/>
    <n v="35"/>
    <x v="0"/>
    <x v="0"/>
  </r>
  <r>
    <n v="13873"/>
    <x v="0"/>
    <x v="1"/>
    <n v="70000"/>
    <x v="1"/>
    <x v="4"/>
    <s v="Professional"/>
    <s v="Yes"/>
    <n v="0"/>
    <x v="0"/>
    <x v="2"/>
    <n v="35"/>
    <x v="0"/>
    <x v="1"/>
  </r>
  <r>
    <n v="20401"/>
    <x v="0"/>
    <x v="0"/>
    <n v="50000"/>
    <x v="5"/>
    <x v="0"/>
    <s v="Management"/>
    <s v="Yes"/>
    <n v="2"/>
    <x v="3"/>
    <x v="2"/>
    <n v="64"/>
    <x v="1"/>
    <x v="1"/>
  </r>
  <r>
    <n v="21583"/>
    <x v="0"/>
    <x v="0"/>
    <n v="50000"/>
    <x v="0"/>
    <x v="0"/>
    <s v="Skilled Manual"/>
    <s v="Yes"/>
    <n v="0"/>
    <x v="0"/>
    <x v="2"/>
    <n v="34"/>
    <x v="0"/>
    <x v="1"/>
  </r>
  <r>
    <n v="12029"/>
    <x v="0"/>
    <x v="1"/>
    <n v="30000"/>
    <x v="3"/>
    <x v="3"/>
    <s v="Clerical"/>
    <s v="No"/>
    <n v="2"/>
    <x v="0"/>
    <x v="2"/>
    <n v="28"/>
    <x v="2"/>
    <x v="0"/>
  </r>
  <r>
    <n v="18066"/>
    <x v="1"/>
    <x v="1"/>
    <n v="70000"/>
    <x v="2"/>
    <x v="0"/>
    <s v="Management"/>
    <s v="Yes"/>
    <n v="3"/>
    <x v="4"/>
    <x v="2"/>
    <n v="60"/>
    <x v="1"/>
    <x v="1"/>
  </r>
  <r>
    <n v="28192"/>
    <x v="0"/>
    <x v="0"/>
    <n v="70000"/>
    <x v="2"/>
    <x v="4"/>
    <s v="Professional"/>
    <s v="Yes"/>
    <n v="3"/>
    <x v="4"/>
    <x v="2"/>
    <n v="46"/>
    <x v="0"/>
    <x v="0"/>
  </r>
  <r>
    <n v="16122"/>
    <x v="0"/>
    <x v="1"/>
    <n v="40000"/>
    <x v="5"/>
    <x v="2"/>
    <s v="Skilled Manual"/>
    <s v="Yes"/>
    <n v="2"/>
    <x v="0"/>
    <x v="2"/>
    <n v="44"/>
    <x v="0"/>
    <x v="1"/>
  </r>
  <r>
    <n v="18607"/>
    <x v="1"/>
    <x v="0"/>
    <n v="60000"/>
    <x v="5"/>
    <x v="0"/>
    <s v="Skilled Manual"/>
    <s v="Yes"/>
    <n v="2"/>
    <x v="1"/>
    <x v="2"/>
    <n v="42"/>
    <x v="0"/>
    <x v="1"/>
  </r>
  <r>
    <n v="28858"/>
    <x v="1"/>
    <x v="1"/>
    <n v="80000"/>
    <x v="1"/>
    <x v="0"/>
    <s v="Skilled Manual"/>
    <s v="Yes"/>
    <n v="0"/>
    <x v="1"/>
    <x v="2"/>
    <n v="40"/>
    <x v="0"/>
    <x v="0"/>
  </r>
  <r>
    <n v="14432"/>
    <x v="1"/>
    <x v="1"/>
    <n v="90000"/>
    <x v="5"/>
    <x v="4"/>
    <s v="Management"/>
    <s v="Yes"/>
    <n v="1"/>
    <x v="2"/>
    <x v="2"/>
    <n v="73"/>
    <x v="1"/>
    <x v="0"/>
  </r>
  <r>
    <n v="26305"/>
    <x v="1"/>
    <x v="0"/>
    <n v="60000"/>
    <x v="4"/>
    <x v="0"/>
    <s v="Skilled Manual"/>
    <s v="No"/>
    <n v="0"/>
    <x v="0"/>
    <x v="2"/>
    <n v="36"/>
    <x v="0"/>
    <x v="1"/>
  </r>
  <r>
    <n v="22050"/>
    <x v="1"/>
    <x v="1"/>
    <n v="90000"/>
    <x v="5"/>
    <x v="0"/>
    <s v="Management"/>
    <s v="Yes"/>
    <n v="1"/>
    <x v="3"/>
    <x v="2"/>
    <n v="38"/>
    <x v="0"/>
    <x v="1"/>
  </r>
  <r>
    <n v="25394"/>
    <x v="0"/>
    <x v="1"/>
    <n v="60000"/>
    <x v="0"/>
    <x v="4"/>
    <s v="Professional"/>
    <s v="Yes"/>
    <n v="0"/>
    <x v="1"/>
    <x v="2"/>
    <n v="34"/>
    <x v="0"/>
    <x v="1"/>
  </r>
  <r>
    <n v="19747"/>
    <x v="0"/>
    <x v="1"/>
    <n v="50000"/>
    <x v="5"/>
    <x v="0"/>
    <s v="Management"/>
    <s v="Yes"/>
    <n v="2"/>
    <x v="4"/>
    <x v="2"/>
    <n v="63"/>
    <x v="1"/>
    <x v="0"/>
  </r>
  <r>
    <n v="23195"/>
    <x v="1"/>
    <x v="1"/>
    <n v="50000"/>
    <x v="1"/>
    <x v="0"/>
    <s v="Skilled Manual"/>
    <s v="Yes"/>
    <n v="2"/>
    <x v="1"/>
    <x v="2"/>
    <n v="41"/>
    <x v="0"/>
    <x v="1"/>
  </r>
  <r>
    <n v="21695"/>
    <x v="0"/>
    <x v="1"/>
    <n v="60000"/>
    <x v="3"/>
    <x v="4"/>
    <s v="Skilled Manual"/>
    <s v="Yes"/>
    <n v="0"/>
    <x v="3"/>
    <x v="2"/>
    <n v="39"/>
    <x v="0"/>
    <x v="1"/>
  </r>
  <r>
    <n v="13934"/>
    <x v="0"/>
    <x v="1"/>
    <n v="40000"/>
    <x v="5"/>
    <x v="2"/>
    <s v="Skilled Manual"/>
    <s v="Yes"/>
    <n v="2"/>
    <x v="1"/>
    <x v="2"/>
    <n v="46"/>
    <x v="0"/>
    <x v="0"/>
  </r>
  <r>
    <n v="13337"/>
    <x v="0"/>
    <x v="0"/>
    <n v="80000"/>
    <x v="2"/>
    <x v="0"/>
    <s v="Management"/>
    <s v="Yes"/>
    <n v="2"/>
    <x v="2"/>
    <x v="2"/>
    <n v="64"/>
    <x v="1"/>
    <x v="0"/>
  </r>
  <r>
    <n v="27190"/>
    <x v="0"/>
    <x v="0"/>
    <n v="40000"/>
    <x v="1"/>
    <x v="1"/>
    <s v="Clerical"/>
    <s v="Yes"/>
    <n v="1"/>
    <x v="3"/>
    <x v="2"/>
    <n v="32"/>
    <x v="0"/>
    <x v="0"/>
  </r>
  <r>
    <n v="28657"/>
    <x v="1"/>
    <x v="1"/>
    <n v="60000"/>
    <x v="4"/>
    <x v="0"/>
    <s v="Skilled Manual"/>
    <s v="Yes"/>
    <n v="0"/>
    <x v="1"/>
    <x v="2"/>
    <n v="36"/>
    <x v="0"/>
    <x v="1"/>
  </r>
  <r>
    <n v="21713"/>
    <x v="1"/>
    <x v="1"/>
    <n v="80000"/>
    <x v="2"/>
    <x v="4"/>
    <s v="Skilled Manual"/>
    <s v="No"/>
    <n v="0"/>
    <x v="0"/>
    <x v="2"/>
    <n v="47"/>
    <x v="0"/>
    <x v="0"/>
  </r>
  <r>
    <n v="21752"/>
    <x v="0"/>
    <x v="1"/>
    <n v="60000"/>
    <x v="1"/>
    <x v="4"/>
    <s v="Management"/>
    <s v="Yes"/>
    <n v="2"/>
    <x v="4"/>
    <x v="2"/>
    <n v="64"/>
    <x v="1"/>
    <x v="0"/>
  </r>
  <r>
    <n v="27273"/>
    <x v="1"/>
    <x v="1"/>
    <n v="70000"/>
    <x v="1"/>
    <x v="4"/>
    <s v="Professional"/>
    <s v="No"/>
    <n v="0"/>
    <x v="0"/>
    <x v="2"/>
    <n v="35"/>
    <x v="0"/>
    <x v="1"/>
  </r>
  <r>
    <n v="22719"/>
    <x v="1"/>
    <x v="1"/>
    <n v="110000"/>
    <x v="1"/>
    <x v="0"/>
    <s v="Management"/>
    <s v="Yes"/>
    <n v="4"/>
    <x v="1"/>
    <x v="2"/>
    <n v="40"/>
    <x v="0"/>
    <x v="1"/>
  </r>
  <r>
    <n v="22042"/>
    <x v="0"/>
    <x v="0"/>
    <n v="70000"/>
    <x v="3"/>
    <x v="1"/>
    <s v="Skilled Manual"/>
    <s v="Yes"/>
    <n v="2"/>
    <x v="2"/>
    <x v="2"/>
    <n v="34"/>
    <x v="0"/>
    <x v="1"/>
  </r>
  <r>
    <n v="21451"/>
    <x v="0"/>
    <x v="0"/>
    <n v="40000"/>
    <x v="5"/>
    <x v="2"/>
    <s v="Professional"/>
    <s v="Yes"/>
    <n v="2"/>
    <x v="4"/>
    <x v="2"/>
    <n v="61"/>
    <x v="1"/>
    <x v="0"/>
  </r>
  <r>
    <n v="20754"/>
    <x v="0"/>
    <x v="1"/>
    <n v="30000"/>
    <x v="4"/>
    <x v="2"/>
    <s v="Skilled Manual"/>
    <s v="Yes"/>
    <n v="2"/>
    <x v="3"/>
    <x v="2"/>
    <n v="51"/>
    <x v="0"/>
    <x v="0"/>
  </r>
  <r>
    <n v="12153"/>
    <x v="1"/>
    <x v="0"/>
    <n v="70000"/>
    <x v="1"/>
    <x v="1"/>
    <s v="Professional"/>
    <s v="Yes"/>
    <n v="1"/>
    <x v="2"/>
    <x v="2"/>
    <n v="49"/>
    <x v="0"/>
    <x v="1"/>
  </r>
  <r>
    <n v="16895"/>
    <x v="0"/>
    <x v="0"/>
    <n v="40000"/>
    <x v="1"/>
    <x v="1"/>
    <s v="Professional"/>
    <s v="No"/>
    <n v="2"/>
    <x v="3"/>
    <x v="2"/>
    <n v="54"/>
    <x v="0"/>
    <x v="1"/>
  </r>
  <r>
    <n v="26728"/>
    <x v="1"/>
    <x v="1"/>
    <n v="70000"/>
    <x v="1"/>
    <x v="4"/>
    <s v="Management"/>
    <s v="No"/>
    <n v="2"/>
    <x v="3"/>
    <x v="2"/>
    <n v="53"/>
    <x v="0"/>
    <x v="1"/>
  </r>
  <r>
    <n v="11090"/>
    <x v="1"/>
    <x v="1"/>
    <n v="90000"/>
    <x v="4"/>
    <x v="1"/>
    <s v="Professional"/>
    <s v="Yes"/>
    <n v="1"/>
    <x v="1"/>
    <x v="2"/>
    <n v="48"/>
    <x v="0"/>
    <x v="1"/>
  </r>
  <r>
    <n v="15862"/>
    <x v="1"/>
    <x v="0"/>
    <n v="50000"/>
    <x v="3"/>
    <x v="4"/>
    <s v="Skilled Manual"/>
    <s v="Yes"/>
    <n v="0"/>
    <x v="3"/>
    <x v="2"/>
    <n v="33"/>
    <x v="0"/>
    <x v="1"/>
  </r>
  <r>
    <n v="26495"/>
    <x v="1"/>
    <x v="0"/>
    <n v="40000"/>
    <x v="4"/>
    <x v="2"/>
    <s v="Professional"/>
    <s v="Yes"/>
    <n v="2"/>
    <x v="4"/>
    <x v="2"/>
    <n v="57"/>
    <x v="1"/>
    <x v="0"/>
  </r>
  <r>
    <n v="11823"/>
    <x v="0"/>
    <x v="0"/>
    <n v="70000"/>
    <x v="3"/>
    <x v="4"/>
    <s v="Professional"/>
    <s v="Yes"/>
    <n v="0"/>
    <x v="1"/>
    <x v="2"/>
    <n v="39"/>
    <x v="0"/>
    <x v="0"/>
  </r>
  <r>
    <n v="23449"/>
    <x v="0"/>
    <x v="1"/>
    <n v="60000"/>
    <x v="4"/>
    <x v="2"/>
    <s v="Professional"/>
    <s v="Yes"/>
    <n v="2"/>
    <x v="2"/>
    <x v="2"/>
    <n v="48"/>
    <x v="0"/>
    <x v="0"/>
  </r>
  <r>
    <n v="23459"/>
    <x v="0"/>
    <x v="1"/>
    <n v="60000"/>
    <x v="4"/>
    <x v="2"/>
    <s v="Professional"/>
    <s v="Yes"/>
    <n v="2"/>
    <x v="2"/>
    <x v="2"/>
    <n v="50"/>
    <x v="0"/>
    <x v="0"/>
  </r>
  <r>
    <n v="19543"/>
    <x v="0"/>
    <x v="1"/>
    <n v="70000"/>
    <x v="2"/>
    <x v="4"/>
    <s v="Professional"/>
    <s v="No"/>
    <n v="3"/>
    <x v="4"/>
    <x v="2"/>
    <n v="47"/>
    <x v="0"/>
    <x v="0"/>
  </r>
  <r>
    <n v="14914"/>
    <x v="0"/>
    <x v="0"/>
    <n v="40000"/>
    <x v="0"/>
    <x v="1"/>
    <s v="Clerical"/>
    <s v="Yes"/>
    <n v="1"/>
    <x v="3"/>
    <x v="2"/>
    <n v="49"/>
    <x v="0"/>
    <x v="1"/>
  </r>
  <r>
    <n v="12033"/>
    <x v="1"/>
    <x v="0"/>
    <n v="40000"/>
    <x v="3"/>
    <x v="2"/>
    <s v="Skilled Manual"/>
    <s v="No"/>
    <n v="2"/>
    <x v="0"/>
    <x v="2"/>
    <n v="27"/>
    <x v="2"/>
    <x v="1"/>
  </r>
  <r>
    <n v="11941"/>
    <x v="1"/>
    <x v="1"/>
    <n v="60000"/>
    <x v="3"/>
    <x v="1"/>
    <s v="Skilled Manual"/>
    <s v="Yes"/>
    <n v="0"/>
    <x v="2"/>
    <x v="2"/>
    <n v="29"/>
    <x v="2"/>
    <x v="0"/>
  </r>
  <r>
    <n v="14389"/>
    <x v="0"/>
    <x v="1"/>
    <n v="60000"/>
    <x v="4"/>
    <x v="0"/>
    <s v="Management"/>
    <s v="Yes"/>
    <n v="0"/>
    <x v="1"/>
    <x v="2"/>
    <n v="59"/>
    <x v="1"/>
    <x v="0"/>
  </r>
  <r>
    <n v="18050"/>
    <x v="0"/>
    <x v="0"/>
    <n v="60000"/>
    <x v="0"/>
    <x v="1"/>
    <s v="Skilled Manual"/>
    <s v="Yes"/>
    <n v="1"/>
    <x v="0"/>
    <x v="2"/>
    <n v="45"/>
    <x v="0"/>
    <x v="1"/>
  </r>
  <r>
    <n v="19856"/>
    <x v="0"/>
    <x v="0"/>
    <n v="60000"/>
    <x v="5"/>
    <x v="0"/>
    <s v="Management"/>
    <s v="Yes"/>
    <n v="2"/>
    <x v="1"/>
    <x v="2"/>
    <n v="60"/>
    <x v="1"/>
    <x v="0"/>
  </r>
  <r>
    <n v="11663"/>
    <x v="0"/>
    <x v="1"/>
    <n v="70000"/>
    <x v="5"/>
    <x v="4"/>
    <s v="Professional"/>
    <s v="Yes"/>
    <n v="0"/>
    <x v="0"/>
    <x v="2"/>
    <n v="36"/>
    <x v="0"/>
    <x v="1"/>
  </r>
  <r>
    <n v="27740"/>
    <x v="0"/>
    <x v="0"/>
    <n v="40000"/>
    <x v="3"/>
    <x v="2"/>
    <s v="Skilled Manual"/>
    <s v="Yes"/>
    <n v="2"/>
    <x v="2"/>
    <x v="2"/>
    <n v="27"/>
    <x v="2"/>
    <x v="0"/>
  </r>
  <r>
    <n v="23455"/>
    <x v="1"/>
    <x v="1"/>
    <n v="80000"/>
    <x v="4"/>
    <x v="3"/>
    <s v="Skilled Manual"/>
    <s v="No"/>
    <n v="2"/>
    <x v="3"/>
    <x v="2"/>
    <n v="50"/>
    <x v="0"/>
    <x v="0"/>
  </r>
  <r>
    <n v="15292"/>
    <x v="1"/>
    <x v="0"/>
    <n v="60000"/>
    <x v="0"/>
    <x v="4"/>
    <s v="Skilled Manual"/>
    <s v="Yes"/>
    <n v="0"/>
    <x v="3"/>
    <x v="2"/>
    <n v="35"/>
    <x v="0"/>
    <x v="0"/>
  </r>
  <r>
    <n v="21587"/>
    <x v="0"/>
    <x v="0"/>
    <n v="60000"/>
    <x v="0"/>
    <x v="4"/>
    <s v="Skilled Manual"/>
    <s v="Yes"/>
    <n v="0"/>
    <x v="1"/>
    <x v="2"/>
    <n v="34"/>
    <x v="0"/>
    <x v="1"/>
  </r>
  <r>
    <n v="23513"/>
    <x v="0"/>
    <x v="0"/>
    <n v="40000"/>
    <x v="1"/>
    <x v="1"/>
    <s v="Professional"/>
    <s v="Yes"/>
    <n v="2"/>
    <x v="2"/>
    <x v="2"/>
    <n v="54"/>
    <x v="0"/>
    <x v="0"/>
  </r>
  <r>
    <n v="24322"/>
    <x v="0"/>
    <x v="0"/>
    <n v="60000"/>
    <x v="5"/>
    <x v="0"/>
    <s v="Skilled Manual"/>
    <s v="No"/>
    <n v="2"/>
    <x v="0"/>
    <x v="2"/>
    <n v="42"/>
    <x v="0"/>
    <x v="0"/>
  </r>
  <r>
    <n v="26298"/>
    <x v="0"/>
    <x v="0"/>
    <n v="50000"/>
    <x v="0"/>
    <x v="0"/>
    <s v="Skilled Manual"/>
    <s v="Yes"/>
    <n v="0"/>
    <x v="1"/>
    <x v="2"/>
    <n v="34"/>
    <x v="0"/>
    <x v="1"/>
  </r>
  <r>
    <n v="25419"/>
    <x v="1"/>
    <x v="1"/>
    <n v="50000"/>
    <x v="4"/>
    <x v="0"/>
    <s v="Skilled Manual"/>
    <s v="No"/>
    <n v="1"/>
    <x v="0"/>
    <x v="2"/>
    <n v="38"/>
    <x v="0"/>
    <x v="1"/>
  </r>
  <r>
    <n v="13343"/>
    <x v="0"/>
    <x v="0"/>
    <n v="90000"/>
    <x v="2"/>
    <x v="0"/>
    <s v="Management"/>
    <s v="Yes"/>
    <n v="2"/>
    <x v="3"/>
    <x v="2"/>
    <n v="63"/>
    <x v="1"/>
    <x v="1"/>
  </r>
  <r>
    <n v="11303"/>
    <x v="1"/>
    <x v="0"/>
    <n v="90000"/>
    <x v="5"/>
    <x v="2"/>
    <s v="Professional"/>
    <s v="No"/>
    <n v="3"/>
    <x v="3"/>
    <x v="2"/>
    <n v="45"/>
    <x v="0"/>
    <x v="1"/>
  </r>
  <r>
    <n v="21693"/>
    <x v="1"/>
    <x v="0"/>
    <n v="60000"/>
    <x v="3"/>
    <x v="4"/>
    <s v="Skilled Manual"/>
    <s v="No"/>
    <n v="0"/>
    <x v="0"/>
    <x v="2"/>
    <n v="40"/>
    <x v="0"/>
    <x v="0"/>
  </r>
  <r>
    <n v="28056"/>
    <x v="0"/>
    <x v="1"/>
    <n v="70000"/>
    <x v="4"/>
    <x v="3"/>
    <s v="Skilled Manual"/>
    <s v="Yes"/>
    <n v="2"/>
    <x v="4"/>
    <x v="2"/>
    <n v="53"/>
    <x v="0"/>
    <x v="0"/>
  </r>
  <r>
    <n v="11788"/>
    <x v="1"/>
    <x v="0"/>
    <n v="70000"/>
    <x v="0"/>
    <x v="4"/>
    <s v="Professional"/>
    <s v="Yes"/>
    <n v="0"/>
    <x v="1"/>
    <x v="2"/>
    <n v="34"/>
    <x v="0"/>
    <x v="0"/>
  </r>
  <r>
    <n v="22296"/>
    <x v="0"/>
    <x v="1"/>
    <n v="70000"/>
    <x v="3"/>
    <x v="0"/>
    <s v="Professional"/>
    <s v="No"/>
    <n v="1"/>
    <x v="0"/>
    <x v="2"/>
    <n v="38"/>
    <x v="0"/>
    <x v="0"/>
  </r>
  <r>
    <n v="15319"/>
    <x v="0"/>
    <x v="0"/>
    <n v="70000"/>
    <x v="5"/>
    <x v="0"/>
    <s v="Management"/>
    <s v="No"/>
    <n v="1"/>
    <x v="3"/>
    <x v="2"/>
    <n v="59"/>
    <x v="1"/>
    <x v="0"/>
  </r>
  <r>
    <n v="17654"/>
    <x v="1"/>
    <x v="0"/>
    <n v="40000"/>
    <x v="1"/>
    <x v="1"/>
    <s v="Clerical"/>
    <s v="Yes"/>
    <n v="1"/>
    <x v="3"/>
    <x v="2"/>
    <n v="30"/>
    <x v="2"/>
    <x v="1"/>
  </r>
  <r>
    <n v="14662"/>
    <x v="0"/>
    <x v="1"/>
    <n v="60000"/>
    <x v="0"/>
    <x v="0"/>
    <s v="Professional"/>
    <s v="Yes"/>
    <n v="1"/>
    <x v="0"/>
    <x v="2"/>
    <n v="48"/>
    <x v="0"/>
    <x v="1"/>
  </r>
  <r>
    <n v="17541"/>
    <x v="0"/>
    <x v="0"/>
    <n v="40000"/>
    <x v="5"/>
    <x v="2"/>
    <s v="Skilled Manual"/>
    <s v="Yes"/>
    <n v="2"/>
    <x v="1"/>
    <x v="2"/>
    <n v="43"/>
    <x v="0"/>
    <x v="0"/>
  </r>
  <r>
    <n v="13886"/>
    <x v="0"/>
    <x v="0"/>
    <n v="70000"/>
    <x v="5"/>
    <x v="4"/>
    <s v="Professional"/>
    <s v="Yes"/>
    <n v="0"/>
    <x v="1"/>
    <x v="2"/>
    <n v="35"/>
    <x v="0"/>
    <x v="1"/>
  </r>
  <r>
    <n v="13073"/>
    <x v="0"/>
    <x v="0"/>
    <n v="60000"/>
    <x v="3"/>
    <x v="1"/>
    <s v="Professional"/>
    <s v="Yes"/>
    <n v="2"/>
    <x v="2"/>
    <x v="2"/>
    <n v="30"/>
    <x v="2"/>
    <x v="0"/>
  </r>
  <r>
    <n v="21940"/>
    <x v="0"/>
    <x v="1"/>
    <n v="90000"/>
    <x v="2"/>
    <x v="4"/>
    <s v="Professional"/>
    <s v="Yes"/>
    <n v="0"/>
    <x v="0"/>
    <x v="2"/>
    <n v="47"/>
    <x v="0"/>
    <x v="1"/>
  </r>
  <r>
    <n v="20196"/>
    <x v="0"/>
    <x v="1"/>
    <n v="60000"/>
    <x v="0"/>
    <x v="1"/>
    <s v="Skilled Manual"/>
    <s v="Yes"/>
    <n v="1"/>
    <x v="1"/>
    <x v="2"/>
    <n v="45"/>
    <x v="0"/>
    <x v="1"/>
  </r>
  <r>
    <n v="23491"/>
    <x v="1"/>
    <x v="1"/>
    <n v="100000"/>
    <x v="3"/>
    <x v="1"/>
    <s v="Professional"/>
    <s v="No"/>
    <n v="4"/>
    <x v="3"/>
    <x v="2"/>
    <n v="45"/>
    <x v="0"/>
    <x v="0"/>
  </r>
  <r>
    <n v="16651"/>
    <x v="0"/>
    <x v="0"/>
    <n v="120000"/>
    <x v="4"/>
    <x v="0"/>
    <s v="Management"/>
    <s v="Yes"/>
    <n v="3"/>
    <x v="2"/>
    <x v="2"/>
    <n v="62"/>
    <x v="1"/>
    <x v="0"/>
  </r>
  <r>
    <n v="16813"/>
    <x v="0"/>
    <x v="1"/>
    <n v="60000"/>
    <x v="4"/>
    <x v="1"/>
    <s v="Professional"/>
    <s v="Yes"/>
    <n v="2"/>
    <x v="4"/>
    <x v="2"/>
    <n v="55"/>
    <x v="1"/>
    <x v="0"/>
  </r>
  <r>
    <n v="16007"/>
    <x v="0"/>
    <x v="0"/>
    <n v="90000"/>
    <x v="2"/>
    <x v="0"/>
    <s v="Management"/>
    <s v="Yes"/>
    <n v="2"/>
    <x v="3"/>
    <x v="2"/>
    <n v="66"/>
    <x v="1"/>
    <x v="1"/>
  </r>
  <r>
    <n v="27434"/>
    <x v="1"/>
    <x v="1"/>
    <n v="70000"/>
    <x v="5"/>
    <x v="1"/>
    <s v="Professional"/>
    <s v="Yes"/>
    <n v="1"/>
    <x v="4"/>
    <x v="2"/>
    <n v="56"/>
    <x v="1"/>
    <x v="0"/>
  </r>
  <r>
    <n v="27756"/>
    <x v="1"/>
    <x v="0"/>
    <n v="50000"/>
    <x v="1"/>
    <x v="0"/>
    <s v="Skilled Manual"/>
    <s v="No"/>
    <n v="1"/>
    <x v="0"/>
    <x v="2"/>
    <n v="40"/>
    <x v="0"/>
    <x v="0"/>
  </r>
  <r>
    <n v="23818"/>
    <x v="0"/>
    <x v="0"/>
    <n v="50000"/>
    <x v="3"/>
    <x v="4"/>
    <s v="Skilled Manual"/>
    <s v="Yes"/>
    <n v="0"/>
    <x v="3"/>
    <x v="2"/>
    <n v="33"/>
    <x v="0"/>
    <x v="1"/>
  </r>
  <r>
    <n v="19012"/>
    <x v="0"/>
    <x v="1"/>
    <n v="80000"/>
    <x v="1"/>
    <x v="0"/>
    <s v="Management"/>
    <s v="Yes"/>
    <n v="1"/>
    <x v="3"/>
    <x v="2"/>
    <n v="56"/>
    <x v="1"/>
    <x v="0"/>
  </r>
  <r>
    <n v="18329"/>
    <x v="1"/>
    <x v="1"/>
    <n v="30000"/>
    <x v="3"/>
    <x v="3"/>
    <s v="Clerical"/>
    <s v="No"/>
    <n v="2"/>
    <x v="2"/>
    <x v="2"/>
    <n v="27"/>
    <x v="2"/>
    <x v="0"/>
  </r>
  <r>
    <n v="29037"/>
    <x v="0"/>
    <x v="1"/>
    <n v="60000"/>
    <x v="3"/>
    <x v="4"/>
    <s v="Professional"/>
    <s v="No"/>
    <n v="0"/>
    <x v="0"/>
    <x v="2"/>
    <n v="39"/>
    <x v="0"/>
    <x v="0"/>
  </r>
  <r>
    <n v="26576"/>
    <x v="0"/>
    <x v="0"/>
    <n v="60000"/>
    <x v="3"/>
    <x v="1"/>
    <s v="Skilled Manual"/>
    <s v="Yes"/>
    <n v="2"/>
    <x v="2"/>
    <x v="2"/>
    <n v="31"/>
    <x v="0"/>
    <x v="0"/>
  </r>
  <r>
    <n v="12192"/>
    <x v="1"/>
    <x v="0"/>
    <n v="60000"/>
    <x v="4"/>
    <x v="3"/>
    <s v="Skilled Manual"/>
    <s v="No"/>
    <n v="2"/>
    <x v="3"/>
    <x v="2"/>
    <n v="51"/>
    <x v="0"/>
    <x v="0"/>
  </r>
  <r>
    <n v="14887"/>
    <x v="0"/>
    <x v="0"/>
    <n v="30000"/>
    <x v="0"/>
    <x v="2"/>
    <s v="Clerical"/>
    <s v="Yes"/>
    <n v="1"/>
    <x v="2"/>
    <x v="2"/>
    <n v="52"/>
    <x v="0"/>
    <x v="0"/>
  </r>
  <r>
    <n v="11734"/>
    <x v="0"/>
    <x v="1"/>
    <n v="60000"/>
    <x v="0"/>
    <x v="1"/>
    <s v="Skilled Manual"/>
    <s v="No"/>
    <n v="1"/>
    <x v="0"/>
    <x v="2"/>
    <n v="47"/>
    <x v="0"/>
    <x v="0"/>
  </r>
  <r>
    <n v="17462"/>
    <x v="0"/>
    <x v="1"/>
    <n v="70000"/>
    <x v="1"/>
    <x v="4"/>
    <s v="Management"/>
    <s v="Yes"/>
    <n v="2"/>
    <x v="2"/>
    <x v="2"/>
    <n v="53"/>
    <x v="0"/>
    <x v="1"/>
  </r>
  <r>
    <n v="20659"/>
    <x v="0"/>
    <x v="1"/>
    <n v="70000"/>
    <x v="1"/>
    <x v="4"/>
    <s v="Professional"/>
    <s v="Yes"/>
    <n v="0"/>
    <x v="0"/>
    <x v="2"/>
    <n v="35"/>
    <x v="0"/>
    <x v="1"/>
  </r>
  <r>
    <n v="28004"/>
    <x v="0"/>
    <x v="0"/>
    <n v="60000"/>
    <x v="1"/>
    <x v="0"/>
    <s v="Management"/>
    <s v="Yes"/>
    <n v="2"/>
    <x v="4"/>
    <x v="2"/>
    <n v="66"/>
    <x v="1"/>
    <x v="0"/>
  </r>
  <r>
    <n v="19741"/>
    <x v="1"/>
    <x v="0"/>
    <n v="80000"/>
    <x v="5"/>
    <x v="4"/>
    <s v="Management"/>
    <s v="Yes"/>
    <n v="2"/>
    <x v="2"/>
    <x v="2"/>
    <n v="65"/>
    <x v="1"/>
    <x v="0"/>
  </r>
  <r>
    <n v="17450"/>
    <x v="0"/>
    <x v="1"/>
    <n v="80000"/>
    <x v="2"/>
    <x v="1"/>
    <s v="Professional"/>
    <s v="Yes"/>
    <n v="3"/>
    <x v="2"/>
    <x v="2"/>
    <n v="45"/>
    <x v="0"/>
    <x v="0"/>
  </r>
  <r>
    <n v="17337"/>
    <x v="1"/>
    <x v="1"/>
    <n v="40000"/>
    <x v="3"/>
    <x v="2"/>
    <s v="Skilled Manual"/>
    <s v="Yes"/>
    <n v="1"/>
    <x v="2"/>
    <x v="2"/>
    <n v="31"/>
    <x v="0"/>
    <x v="0"/>
  </r>
  <r>
    <n v="18594"/>
    <x v="1"/>
    <x v="0"/>
    <n v="80000"/>
    <x v="1"/>
    <x v="0"/>
    <s v="Skilled Manual"/>
    <s v="Yes"/>
    <n v="3"/>
    <x v="4"/>
    <x v="2"/>
    <n v="40"/>
    <x v="0"/>
    <x v="1"/>
  </r>
  <r>
    <n v="15982"/>
    <x v="0"/>
    <x v="1"/>
    <n v="110000"/>
    <x v="2"/>
    <x v="1"/>
    <s v="Professional"/>
    <s v="Yes"/>
    <n v="4"/>
    <x v="1"/>
    <x v="2"/>
    <n v="46"/>
    <x v="0"/>
    <x v="0"/>
  </r>
  <r>
    <n v="28625"/>
    <x v="1"/>
    <x v="1"/>
    <n v="40000"/>
    <x v="4"/>
    <x v="1"/>
    <s v="Clerical"/>
    <s v="No"/>
    <n v="1"/>
    <x v="3"/>
    <x v="2"/>
    <n v="47"/>
    <x v="0"/>
    <x v="1"/>
  </r>
  <r>
    <n v="11269"/>
    <x v="0"/>
    <x v="1"/>
    <n v="130000"/>
    <x v="4"/>
    <x v="4"/>
    <s v="Management"/>
    <s v="Yes"/>
    <n v="2"/>
    <x v="0"/>
    <x v="2"/>
    <n v="41"/>
    <x v="0"/>
    <x v="0"/>
  </r>
  <r>
    <n v="25148"/>
    <x v="0"/>
    <x v="1"/>
    <n v="60000"/>
    <x v="4"/>
    <x v="2"/>
    <s v="Professional"/>
    <s v="No"/>
    <n v="2"/>
    <x v="3"/>
    <x v="2"/>
    <n v="48"/>
    <x v="0"/>
    <x v="1"/>
  </r>
  <r>
    <n v="13920"/>
    <x v="1"/>
    <x v="0"/>
    <n v="50000"/>
    <x v="5"/>
    <x v="0"/>
    <s v="Skilled Manual"/>
    <s v="Yes"/>
    <n v="2"/>
    <x v="0"/>
    <x v="2"/>
    <n v="42"/>
    <x v="0"/>
    <x v="0"/>
  </r>
  <r>
    <n v="23704"/>
    <x v="1"/>
    <x v="1"/>
    <n v="40000"/>
    <x v="2"/>
    <x v="2"/>
    <s v="Professional"/>
    <s v="Yes"/>
    <n v="4"/>
    <x v="4"/>
    <x v="2"/>
    <n v="60"/>
    <x v="1"/>
    <x v="1"/>
  </r>
  <r>
    <n v="28972"/>
    <x v="1"/>
    <x v="0"/>
    <n v="60000"/>
    <x v="1"/>
    <x v="4"/>
    <s v="Management"/>
    <s v="Yes"/>
    <n v="2"/>
    <x v="4"/>
    <x v="2"/>
    <n v="66"/>
    <x v="1"/>
    <x v="0"/>
  </r>
  <r>
    <n v="22730"/>
    <x v="0"/>
    <x v="1"/>
    <n v="70000"/>
    <x v="2"/>
    <x v="0"/>
    <s v="Management"/>
    <s v="Yes"/>
    <n v="2"/>
    <x v="4"/>
    <x v="2"/>
    <n v="63"/>
    <x v="1"/>
    <x v="0"/>
  </r>
  <r>
    <n v="29134"/>
    <x v="0"/>
    <x v="1"/>
    <n v="60000"/>
    <x v="5"/>
    <x v="0"/>
    <s v="Skilled Manual"/>
    <s v="No"/>
    <n v="3"/>
    <x v="4"/>
    <x v="2"/>
    <n v="42"/>
    <x v="0"/>
    <x v="0"/>
  </r>
  <r>
    <n v="14332"/>
    <x v="1"/>
    <x v="0"/>
    <n v="30000"/>
    <x v="3"/>
    <x v="2"/>
    <s v="Skilled Manual"/>
    <s v="No"/>
    <n v="2"/>
    <x v="2"/>
    <x v="2"/>
    <n v="26"/>
    <x v="2"/>
    <x v="0"/>
  </r>
  <r>
    <n v="19117"/>
    <x v="1"/>
    <x v="0"/>
    <n v="60000"/>
    <x v="0"/>
    <x v="4"/>
    <s v="Professional"/>
    <s v="Yes"/>
    <n v="0"/>
    <x v="1"/>
    <x v="2"/>
    <n v="36"/>
    <x v="0"/>
    <x v="1"/>
  </r>
  <r>
    <n v="22864"/>
    <x v="0"/>
    <x v="1"/>
    <n v="90000"/>
    <x v="4"/>
    <x v="1"/>
    <s v="Professional"/>
    <s v="No"/>
    <n v="0"/>
    <x v="2"/>
    <x v="2"/>
    <n v="49"/>
    <x v="0"/>
    <x v="1"/>
  </r>
  <r>
    <n v="11292"/>
    <x v="1"/>
    <x v="1"/>
    <n v="150000"/>
    <x v="0"/>
    <x v="1"/>
    <s v="Professional"/>
    <s v="No"/>
    <n v="3"/>
    <x v="0"/>
    <x v="2"/>
    <n v="44"/>
    <x v="0"/>
    <x v="1"/>
  </r>
  <r>
    <n v="13466"/>
    <x v="0"/>
    <x v="1"/>
    <n v="80000"/>
    <x v="2"/>
    <x v="1"/>
    <s v="Professional"/>
    <s v="Yes"/>
    <n v="3"/>
    <x v="3"/>
    <x v="2"/>
    <n v="46"/>
    <x v="0"/>
    <x v="0"/>
  </r>
  <r>
    <n v="23731"/>
    <x v="0"/>
    <x v="1"/>
    <n v="60000"/>
    <x v="4"/>
    <x v="2"/>
    <s v="Professional"/>
    <s v="Yes"/>
    <n v="2"/>
    <x v="1"/>
    <x v="2"/>
    <n v="54"/>
    <x v="0"/>
    <x v="1"/>
  </r>
  <r>
    <n v="28672"/>
    <x v="1"/>
    <x v="1"/>
    <n v="70000"/>
    <x v="5"/>
    <x v="4"/>
    <s v="Professional"/>
    <s v="Yes"/>
    <n v="0"/>
    <x v="1"/>
    <x v="2"/>
    <n v="35"/>
    <x v="0"/>
    <x v="1"/>
  </r>
  <r>
    <n v="11809"/>
    <x v="0"/>
    <x v="1"/>
    <n v="60000"/>
    <x v="4"/>
    <x v="0"/>
    <s v="Skilled Manual"/>
    <s v="Yes"/>
    <n v="0"/>
    <x v="0"/>
    <x v="2"/>
    <n v="38"/>
    <x v="0"/>
    <x v="1"/>
  </r>
  <r>
    <n v="19664"/>
    <x v="1"/>
    <x v="1"/>
    <n v="100000"/>
    <x v="1"/>
    <x v="0"/>
    <s v="Management"/>
    <s v="No"/>
    <n v="3"/>
    <x v="3"/>
    <x v="2"/>
    <n v="38"/>
    <x v="0"/>
    <x v="0"/>
  </r>
  <r>
    <n v="12121"/>
    <x v="1"/>
    <x v="1"/>
    <n v="60000"/>
    <x v="1"/>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93F82B-4A98-AF4F-BCAA-3DE72EC74F22}"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3:D38"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5">
        <item x="2"/>
        <item m="1" x="3"/>
        <item x="0"/>
        <item x="1"/>
        <item t="default"/>
      </items>
    </pivotField>
    <pivotField axis="axisCol" dataField="1" showAll="0">
      <items count="3">
        <item x="0"/>
        <item x="1"/>
        <item t="default"/>
      </items>
    </pivotField>
  </pivotFields>
  <rowFields count="1">
    <field x="12"/>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F5ED39-1FB8-3F45-80A8-9D370AC84F9F}"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7:D24"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11">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1">
          <reference field="4294967294" count="1" selected="0">
            <x v="0"/>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55E261-86E3-C541-A7B7-74C0A591E989}"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items count="7">
        <item x="3"/>
        <item x="0"/>
        <item x="4"/>
        <item x="1"/>
        <item x="5"/>
        <item x="2"/>
        <item t="default"/>
      </items>
    </pivotField>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items count="5">
        <item x="2"/>
        <item m="1" x="3"/>
        <item x="0"/>
        <item x="1"/>
        <item t="default"/>
      </items>
    </pivotField>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dataFields>
  <formats count="1">
    <format dxfId="0">
      <pivotArea collapsedLevelsAreSubtotals="1" fieldPosition="0">
        <references count="1">
          <reference field="2" count="0"/>
        </references>
      </pivotArea>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9418B85-7CB3-5B44-BE3D-95103F666D1C}" sourceName="Marital Status">
  <pivotTables>
    <pivotTable tabId="3" name="PivotTable1"/>
    <pivotTable tabId="3" name="PivotTable3"/>
    <pivotTable tabId="3" name="PivotTable4"/>
  </pivotTables>
  <data>
    <tabular pivotCacheId="92389687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C923A80-14E0-2D41-BFD1-A9EC6F6C8BB4}" sourceName="Education">
  <pivotTables>
    <pivotTable tabId="3" name="PivotTable1"/>
    <pivotTable tabId="3" name="PivotTable3"/>
    <pivotTable tabId="3" name="PivotTable4"/>
  </pivotTables>
  <data>
    <tabular pivotCacheId="92389687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5642CCD-6D7A-9845-ABCF-CEF1E19CC3CE}" sourceName="Region">
  <pivotTables>
    <pivotTable tabId="3" name="PivotTable1"/>
    <pivotTable tabId="3" name="PivotTable3"/>
    <pivotTable tabId="3" name="PivotTable4"/>
  </pivotTables>
  <data>
    <tabular pivotCacheId="923896878">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CA29C79-85B7-C443-9A87-B7FBCDE94F1D}" sourceName="Gender">
  <pivotTables>
    <pivotTable tabId="3" name="PivotTable1"/>
  </pivotTables>
  <data>
    <tabular pivotCacheId="923896878">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E1B4D5A5-291E-6842-AB5A-D3471005EE7E}" sourceName="Children">
  <pivotTables>
    <pivotTable tabId="3" name="PivotTable1"/>
  </pivotTables>
  <data>
    <tabular pivotCacheId="923896878">
      <items count="6">
        <i x="3" s="1"/>
        <i x="0" s="1"/>
        <i x="4" s="1"/>
        <i x="1"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CB546DD-58E8-4640-BFB2-C192CE8164BD}" cache="Slicer_Marital_Status" caption="Marital Status" style="SlicerStyleDark1" rowHeight="230716"/>
  <slicer name="Education" xr10:uid="{FB0B6DC8-6A57-6D42-AD16-4EFD480B0256}" cache="Slicer_Education" caption="Education" style="SlicerStyleDark1" rowHeight="230716"/>
  <slicer name="Region" xr10:uid="{53FACEAF-B185-574B-86A1-689F275046D4}" cache="Slicer_Region" caption="Region" style="SlicerStyleDark1" rowHeight="230716"/>
  <slicer name="Gender" xr10:uid="{654CB3FD-FD01-4E42-A94C-C3B99E4A2971}" cache="Slicer_Gender" caption="Gender" style="SlicerStyleDark1" rowHeight="230716"/>
  <slicer name="Children" xr10:uid="{1A4CB1C1-8CD7-DE4E-B89B-57D464DB34A6}" cache="Slicer_Children" caption="Children" style="SlicerStyleDark1"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Q30" sqref="Q30"/>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36516-CDF1-A841-806C-15116CB814CB}">
  <dimension ref="A1:N1001"/>
  <sheetViews>
    <sheetView workbookViewId="0">
      <selection activeCell="A7" sqref="A7"/>
    </sheetView>
  </sheetViews>
  <sheetFormatPr defaultColWidth="18" defaultRowHeight="15" x14ac:dyDescent="0.25"/>
  <cols>
    <col min="4" max="4" width="18" style="3"/>
  </cols>
  <sheetData>
    <row r="1" spans="1:14" ht="16.5" customHeight="1" x14ac:dyDescent="0.25">
      <c r="A1" s="8" t="s">
        <v>0</v>
      </c>
      <c r="B1" s="8" t="s">
        <v>1</v>
      </c>
      <c r="C1" s="8" t="s">
        <v>2</v>
      </c>
      <c r="D1" s="9" t="s">
        <v>3</v>
      </c>
      <c r="E1" s="8" t="s">
        <v>4</v>
      </c>
      <c r="F1" s="8" t="s">
        <v>5</v>
      </c>
      <c r="G1" s="8" t="s">
        <v>6</v>
      </c>
      <c r="H1" s="8" t="s">
        <v>7</v>
      </c>
      <c r="I1" s="8" t="s">
        <v>8</v>
      </c>
      <c r="J1" s="8" t="s">
        <v>9</v>
      </c>
      <c r="K1" s="8" t="s">
        <v>10</v>
      </c>
      <c r="L1" s="8" t="s">
        <v>11</v>
      </c>
      <c r="M1" s="8" t="s">
        <v>40</v>
      </c>
      <c r="N1" s="8" t="s">
        <v>12</v>
      </c>
    </row>
    <row r="2" spans="1:14" x14ac:dyDescent="0.25">
      <c r="A2">
        <v>12496</v>
      </c>
      <c r="B2" t="s">
        <v>36</v>
      </c>
      <c r="C2" t="s">
        <v>39</v>
      </c>
      <c r="D2" s="3">
        <v>40000</v>
      </c>
      <c r="E2">
        <v>1</v>
      </c>
      <c r="F2" t="s">
        <v>13</v>
      </c>
      <c r="G2" t="s">
        <v>14</v>
      </c>
      <c r="H2" t="s">
        <v>15</v>
      </c>
      <c r="I2">
        <v>0</v>
      </c>
      <c r="J2" t="s">
        <v>16</v>
      </c>
      <c r="K2" t="s">
        <v>17</v>
      </c>
      <c r="L2">
        <v>42</v>
      </c>
      <c r="M2" t="str">
        <f>IF(L2&gt;54, "Old", IF(L2&gt;31,"Middle Age",IF(L2&lt;31,"Adolescent","Invalid")))</f>
        <v>Middle Age</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IF(L3&gt;54, "Old", IF(L3&gt;31,"Middle Age",IF(L3&lt;31,"Adolescent","Invalid")))</f>
        <v>Middle Age</v>
      </c>
      <c r="N3" t="s">
        <v>18</v>
      </c>
    </row>
    <row r="4" spans="1:14" x14ac:dyDescent="0.25">
      <c r="A4">
        <v>14177</v>
      </c>
      <c r="B4" t="s">
        <v>36</v>
      </c>
      <c r="C4" t="s">
        <v>38</v>
      </c>
      <c r="D4" s="3">
        <v>80000</v>
      </c>
      <c r="E4">
        <v>5</v>
      </c>
      <c r="F4" t="s">
        <v>19</v>
      </c>
      <c r="G4" t="s">
        <v>21</v>
      </c>
      <c r="H4" t="s">
        <v>18</v>
      </c>
      <c r="I4">
        <v>2</v>
      </c>
      <c r="J4" t="s">
        <v>22</v>
      </c>
      <c r="K4" t="s">
        <v>17</v>
      </c>
      <c r="L4">
        <v>60</v>
      </c>
      <c r="M4" t="str">
        <f t="shared" si="0"/>
        <v>Old</v>
      </c>
      <c r="N4" t="s">
        <v>18</v>
      </c>
    </row>
    <row r="5" spans="1:14" x14ac:dyDescent="0.25">
      <c r="A5">
        <v>24381</v>
      </c>
      <c r="B5" t="s">
        <v>37</v>
      </c>
      <c r="C5" t="s">
        <v>38</v>
      </c>
      <c r="D5" s="3">
        <v>70000</v>
      </c>
      <c r="E5">
        <v>0</v>
      </c>
      <c r="F5" t="s">
        <v>13</v>
      </c>
      <c r="G5" t="s">
        <v>21</v>
      </c>
      <c r="H5" t="s">
        <v>15</v>
      </c>
      <c r="I5">
        <v>1</v>
      </c>
      <c r="J5" t="s">
        <v>23</v>
      </c>
      <c r="K5" t="s">
        <v>24</v>
      </c>
      <c r="L5">
        <v>41</v>
      </c>
      <c r="M5" t="str">
        <f t="shared" si="0"/>
        <v>Middle Age</v>
      </c>
      <c r="N5" t="s">
        <v>15</v>
      </c>
    </row>
    <row r="6" spans="1:14" x14ac:dyDescent="0.25">
      <c r="A6">
        <v>25597</v>
      </c>
      <c r="B6" t="s">
        <v>37</v>
      </c>
      <c r="C6" t="s">
        <v>38</v>
      </c>
      <c r="D6" s="3">
        <v>30000</v>
      </c>
      <c r="E6">
        <v>0</v>
      </c>
      <c r="F6" t="s">
        <v>13</v>
      </c>
      <c r="G6" t="s">
        <v>20</v>
      </c>
      <c r="H6" t="s">
        <v>18</v>
      </c>
      <c r="I6">
        <v>0</v>
      </c>
      <c r="J6" t="s">
        <v>16</v>
      </c>
      <c r="K6" t="s">
        <v>17</v>
      </c>
      <c r="L6">
        <v>36</v>
      </c>
      <c r="M6" t="str">
        <f t="shared" si="0"/>
        <v>Middle Age</v>
      </c>
      <c r="N6" t="s">
        <v>15</v>
      </c>
    </row>
    <row r="7" spans="1:14" x14ac:dyDescent="0.25">
      <c r="A7">
        <v>13507</v>
      </c>
      <c r="B7" t="s">
        <v>36</v>
      </c>
      <c r="C7" t="s">
        <v>39</v>
      </c>
      <c r="D7" s="3">
        <v>10000</v>
      </c>
      <c r="E7">
        <v>2</v>
      </c>
      <c r="F7" t="s">
        <v>19</v>
      </c>
      <c r="G7" t="s">
        <v>25</v>
      </c>
      <c r="H7" t="s">
        <v>15</v>
      </c>
      <c r="I7">
        <v>0</v>
      </c>
      <c r="J7" t="s">
        <v>26</v>
      </c>
      <c r="K7" t="s">
        <v>17</v>
      </c>
      <c r="L7">
        <v>50</v>
      </c>
      <c r="M7" t="str">
        <f t="shared" si="0"/>
        <v>Middle Age</v>
      </c>
      <c r="N7" t="s">
        <v>18</v>
      </c>
    </row>
    <row r="8" spans="1:14" x14ac:dyDescent="0.25">
      <c r="A8">
        <v>27974</v>
      </c>
      <c r="B8" t="s">
        <v>37</v>
      </c>
      <c r="C8" t="s">
        <v>38</v>
      </c>
      <c r="D8" s="3">
        <v>160000</v>
      </c>
      <c r="E8">
        <v>2</v>
      </c>
      <c r="F8" t="s">
        <v>27</v>
      </c>
      <c r="G8" t="s">
        <v>28</v>
      </c>
      <c r="H8" t="s">
        <v>15</v>
      </c>
      <c r="I8">
        <v>4</v>
      </c>
      <c r="J8" t="s">
        <v>16</v>
      </c>
      <c r="K8" t="s">
        <v>24</v>
      </c>
      <c r="L8">
        <v>33</v>
      </c>
      <c r="M8" t="str">
        <f t="shared" si="0"/>
        <v>Middle Age</v>
      </c>
      <c r="N8" t="s">
        <v>15</v>
      </c>
    </row>
    <row r="9" spans="1:14" x14ac:dyDescent="0.25">
      <c r="A9">
        <v>19364</v>
      </c>
      <c r="B9" t="s">
        <v>36</v>
      </c>
      <c r="C9" t="s">
        <v>38</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3">
        <v>20000</v>
      </c>
      <c r="E34">
        <v>0</v>
      </c>
      <c r="F34" t="s">
        <v>27</v>
      </c>
      <c r="G34" t="s">
        <v>25</v>
      </c>
      <c r="H34" t="s">
        <v>18</v>
      </c>
      <c r="I34">
        <v>1</v>
      </c>
      <c r="J34" t="s">
        <v>23</v>
      </c>
      <c r="K34" t="s">
        <v>17</v>
      </c>
      <c r="L34">
        <v>31</v>
      </c>
      <c r="M34" t="str">
        <f>IF(L34&gt;54, "Old", IF(L34&gt;30,"Middle Age",IF(L34&lt;31,"Adolescent","Invalid")))</f>
        <v>Middle Age</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IF(L67&gt;54, "Old", IF(L67&gt;31,"Middle Age",IF(L67&lt;31,"Adolescent","Invalid")))</f>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IF(L77&gt;54, "Old", IF(L77&gt;30,"Middle Age",IF(L77&lt;31,"Adolescent","Invalid")))</f>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3">
        <v>80000</v>
      </c>
      <c r="E124">
        <v>0</v>
      </c>
      <c r="F124" t="s">
        <v>13</v>
      </c>
      <c r="G124" t="s">
        <v>21</v>
      </c>
      <c r="H124" t="s">
        <v>18</v>
      </c>
      <c r="I124">
        <v>3</v>
      </c>
      <c r="J124" t="s">
        <v>46</v>
      </c>
      <c r="K124" t="s">
        <v>24</v>
      </c>
      <c r="L124">
        <v>31</v>
      </c>
      <c r="M124" t="str">
        <f>IF(L124&gt;54, "Old", IF(L124&gt;30,"Middle Age",IF(L124&lt;31,"Adolescent","Invalid")))</f>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IF(L131&gt;54, "Old", IF(L131&gt;31,"Middle Age",IF(L131&lt;31,"Adolescent","Invalid")))</f>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39</v>
      </c>
      <c r="D195" s="3">
        <v>70000</v>
      </c>
      <c r="E195">
        <v>5</v>
      </c>
      <c r="F195" t="s">
        <v>13</v>
      </c>
      <c r="G195" t="s">
        <v>21</v>
      </c>
      <c r="H195" t="s">
        <v>15</v>
      </c>
      <c r="I195">
        <v>4</v>
      </c>
      <c r="J195" t="s">
        <v>46</v>
      </c>
      <c r="K195" t="s">
        <v>24</v>
      </c>
      <c r="L195">
        <v>41</v>
      </c>
      <c r="M195" t="str">
        <f t="shared" ref="M195:M258" si="3">IF(L195&gt;54, "Old", IF(L195&gt;31,"Middle Age",IF(L195&lt;31,"Adolescent","Invalid")))</f>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IF(L202&gt;54, "Old", IF(L202&gt;30,"Middle Age",IF(L202&lt;31,"Adolescent","Invalid")))</f>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3">
        <v>70000</v>
      </c>
      <c r="E215">
        <v>0</v>
      </c>
      <c r="F215" t="s">
        <v>13</v>
      </c>
      <c r="G215" t="s">
        <v>21</v>
      </c>
      <c r="H215" t="s">
        <v>18</v>
      </c>
      <c r="I215">
        <v>4</v>
      </c>
      <c r="J215" t="s">
        <v>46</v>
      </c>
      <c r="K215" t="s">
        <v>24</v>
      </c>
      <c r="L215">
        <v>31</v>
      </c>
      <c r="M215" t="str">
        <f>IF(L215&gt;54, "Old", IF(L215&gt;30,"Middle Age",IF(L215&lt;31,"Adolescent","Invalid")))</f>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IF(L254&gt;54, "Old", IF(L254&gt;30,"Middle Age",IF(L254&lt;31,"Adolescent","Invalid")))</f>
        <v>Middle Age</v>
      </c>
      <c r="N254" t="s">
        <v>18</v>
      </c>
    </row>
    <row r="255" spans="1:14" x14ac:dyDescent="0.2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IF(L259&gt;54, "Old", IF(L259&gt;31,"Middle Age",IF(L259&lt;31,"Adolescent","Invalid")))</f>
        <v>Middle Age</v>
      </c>
      <c r="N259" t="s">
        <v>15</v>
      </c>
    </row>
    <row r="260" spans="1:14" x14ac:dyDescent="0.2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IF(L323&gt;54, "Old", IF(L323&gt;31,"Middle Age",IF(L323&lt;31,"Adolescent","Invalid")))</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IF(L346&gt;54, "Old", IF(L346&gt;30,"Middle Age",IF(L346&lt;31,"Adolescent","Invalid")))</f>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IF(L387&gt;54, "Old", IF(L387&gt;31,"Middle Age",IF(L387&lt;31,"Adolescent","Invalid")))</f>
        <v>Middle Age</v>
      </c>
      <c r="N387" t="s">
        <v>18</v>
      </c>
    </row>
    <row r="388" spans="1:14" x14ac:dyDescent="0.2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IF(L431&gt;54, "Old", IF(L431&gt;30,"Middle Age",IF(L431&lt;31,"Adolescent","Invalid")))</f>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IF(L451&gt;54, "Old", IF(L451&gt;31,"Middle Age",IF(L451&lt;31,"Adolescent","Invalid")))</f>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IF(L462&gt;54, "Old", IF(L462&gt;30,"Middle Age",IF(L462&lt;31,"Adolescent","Invalid")))</f>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IF(L486&gt;54, "Old", IF(L486&gt;30,"Middle Age",IF(L486&lt;31,"Adolescent","Invalid")))</f>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IF(L494&gt;54, "Old", IF(L494&gt;30,"Middle Age",IF(L494&lt;31,"Adolescent","Invalid")))</f>
        <v>Middle Age</v>
      </c>
      <c r="N494" t="s">
        <v>15</v>
      </c>
    </row>
    <row r="495" spans="1:14" x14ac:dyDescent="0.2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IF(L501&gt;54, "Old", IF(L501&gt;30,"Middle Age",IF(L501&lt;31,"Adolescent","Invalid")))</f>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3">
        <v>60000</v>
      </c>
      <c r="E515">
        <v>4</v>
      </c>
      <c r="F515" t="s">
        <v>31</v>
      </c>
      <c r="G515" t="s">
        <v>28</v>
      </c>
      <c r="H515" t="s">
        <v>15</v>
      </c>
      <c r="I515">
        <v>2</v>
      </c>
      <c r="J515" t="s">
        <v>46</v>
      </c>
      <c r="K515" t="s">
        <v>32</v>
      </c>
      <c r="L515">
        <v>61</v>
      </c>
      <c r="M515" t="str">
        <f t="shared" ref="M515:M577" si="8">IF(L515&gt;54, "Old", IF(L515&gt;31,"Middle Age",IF(L515&lt;31,"Adolescent","Invalid")))</f>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IF(L559&gt;54, "Old", IF(L559&gt;30,"Middle Age",IF(L559&lt;31,"Adolescent","Invalid")))</f>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IF(L578&gt;54, "Old", IF(L578&gt;30,"Middle Age",IF(L578&lt;31,"Adolescent","Invalid")))</f>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IF(L579&gt;54, "Old", IF(L579&gt;31,"Middle Age",IF(L579&lt;31,"Adolescent","Invalid")))</f>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3">
        <v>50000</v>
      </c>
      <c r="E643">
        <v>4</v>
      </c>
      <c r="F643" t="s">
        <v>13</v>
      </c>
      <c r="G643" t="s">
        <v>28</v>
      </c>
      <c r="H643" t="s">
        <v>15</v>
      </c>
      <c r="I643">
        <v>2</v>
      </c>
      <c r="J643" t="s">
        <v>46</v>
      </c>
      <c r="K643" t="s">
        <v>32</v>
      </c>
      <c r="L643">
        <v>64</v>
      </c>
      <c r="M643" t="str">
        <f t="shared" ref="M643:M706" si="10">IF(L643&gt;54, "Old", IF(L643&gt;31,"Middle Age",IF(L643&lt;31,"Adolescent","Invalid")))</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IF(L649&gt;54, "Old", IF(L649&gt;30,"Middle Age",IF(L649&lt;31,"Adolescent","Invalid")))</f>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ref="M655:M657" si="11">IF(L655&gt;54, "Old", IF(L655&gt;30,"Middle Age",IF(L655&lt;31,"Adolescent","Invalid")))</f>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1"/>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1"/>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3">
        <v>70000</v>
      </c>
      <c r="E707">
        <v>4</v>
      </c>
      <c r="F707" t="s">
        <v>13</v>
      </c>
      <c r="G707" t="s">
        <v>28</v>
      </c>
      <c r="H707" t="s">
        <v>15</v>
      </c>
      <c r="I707">
        <v>1</v>
      </c>
      <c r="J707" t="s">
        <v>46</v>
      </c>
      <c r="K707" t="s">
        <v>32</v>
      </c>
      <c r="L707">
        <v>59</v>
      </c>
      <c r="M707" t="str">
        <f t="shared" ref="M707:M770" si="12">IF(L707&gt;54, "Old", IF(L707&gt;31,"Middle Age",IF(L707&lt;31,"Adolescent","Invalid")))</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2"/>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2"/>
        <v>Middle Age</v>
      </c>
      <c r="N709" t="s">
        <v>15</v>
      </c>
    </row>
    <row r="710" spans="1:14" x14ac:dyDescent="0.25">
      <c r="A710">
        <v>18069</v>
      </c>
      <c r="B710" t="s">
        <v>36</v>
      </c>
      <c r="C710" t="s">
        <v>38</v>
      </c>
      <c r="D710" s="3">
        <v>70000</v>
      </c>
      <c r="E710">
        <v>5</v>
      </c>
      <c r="F710" t="s">
        <v>13</v>
      </c>
      <c r="G710" t="s">
        <v>28</v>
      </c>
      <c r="H710" t="s">
        <v>15</v>
      </c>
      <c r="I710">
        <v>4</v>
      </c>
      <c r="J710" t="s">
        <v>46</v>
      </c>
      <c r="K710" t="s">
        <v>32</v>
      </c>
      <c r="L710">
        <v>60</v>
      </c>
      <c r="M710" t="str">
        <f t="shared" si="12"/>
        <v>Old</v>
      </c>
      <c r="N710" t="s">
        <v>18</v>
      </c>
    </row>
    <row r="711" spans="1:14" x14ac:dyDescent="0.25">
      <c r="A711">
        <v>23712</v>
      </c>
      <c r="B711" t="s">
        <v>37</v>
      </c>
      <c r="C711" t="s">
        <v>39</v>
      </c>
      <c r="D711" s="3">
        <v>70000</v>
      </c>
      <c r="E711">
        <v>2</v>
      </c>
      <c r="F711" t="s">
        <v>13</v>
      </c>
      <c r="G711" t="s">
        <v>28</v>
      </c>
      <c r="H711" t="s">
        <v>15</v>
      </c>
      <c r="I711">
        <v>1</v>
      </c>
      <c r="J711" t="s">
        <v>46</v>
      </c>
      <c r="K711" t="s">
        <v>32</v>
      </c>
      <c r="L711">
        <v>59</v>
      </c>
      <c r="M711" t="str">
        <f t="shared" si="12"/>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2"/>
        <v>Middle Age</v>
      </c>
      <c r="N712" t="s">
        <v>15</v>
      </c>
    </row>
    <row r="713" spans="1:14" x14ac:dyDescent="0.25">
      <c r="A713">
        <v>20518</v>
      </c>
      <c r="B713" t="s">
        <v>36</v>
      </c>
      <c r="C713" t="s">
        <v>39</v>
      </c>
      <c r="D713" s="3">
        <v>70000</v>
      </c>
      <c r="E713">
        <v>2</v>
      </c>
      <c r="F713" t="s">
        <v>19</v>
      </c>
      <c r="G713" t="s">
        <v>21</v>
      </c>
      <c r="H713" t="s">
        <v>15</v>
      </c>
      <c r="I713">
        <v>1</v>
      </c>
      <c r="J713" t="s">
        <v>46</v>
      </c>
      <c r="K713" t="s">
        <v>32</v>
      </c>
      <c r="L713">
        <v>58</v>
      </c>
      <c r="M713" t="str">
        <f t="shared" si="12"/>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2"/>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2"/>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2"/>
        <v>Adolescent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2"/>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2"/>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2"/>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2"/>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2"/>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2"/>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2"/>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2"/>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2"/>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2"/>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2"/>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2"/>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2"/>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2"/>
        <v>Adolescent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2"/>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2"/>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2"/>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2"/>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2"/>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2"/>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2"/>
        <v>Adolescent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IF(L738&gt;54, "Old", IF(L738&gt;30,"Middle Age",IF(L738&lt;31,"Adolescent","Invalid")))</f>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2"/>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2"/>
        <v>Middle Age</v>
      </c>
      <c r="N740" t="s">
        <v>15</v>
      </c>
    </row>
    <row r="741" spans="1:14" x14ac:dyDescent="0.25">
      <c r="A741">
        <v>11225</v>
      </c>
      <c r="B741" t="s">
        <v>36</v>
      </c>
      <c r="C741" t="s">
        <v>39</v>
      </c>
      <c r="D741" s="3">
        <v>60000</v>
      </c>
      <c r="E741">
        <v>2</v>
      </c>
      <c r="F741" t="s">
        <v>19</v>
      </c>
      <c r="G741" t="s">
        <v>21</v>
      </c>
      <c r="H741" t="s">
        <v>15</v>
      </c>
      <c r="I741">
        <v>1</v>
      </c>
      <c r="J741" t="s">
        <v>46</v>
      </c>
      <c r="K741" t="s">
        <v>32</v>
      </c>
      <c r="L741">
        <v>55</v>
      </c>
      <c r="M741" t="str">
        <f t="shared" si="12"/>
        <v>Old</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2"/>
        <v>Adolescent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2"/>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2"/>
        <v>Adolescent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2"/>
        <v>Middle Age</v>
      </c>
      <c r="N745" t="s">
        <v>18</v>
      </c>
    </row>
    <row r="746" spans="1:14" x14ac:dyDescent="0.25">
      <c r="A746">
        <v>20535</v>
      </c>
      <c r="B746" t="s">
        <v>36</v>
      </c>
      <c r="C746" t="s">
        <v>39</v>
      </c>
      <c r="D746" s="3">
        <v>70000</v>
      </c>
      <c r="E746">
        <v>4</v>
      </c>
      <c r="F746" t="s">
        <v>19</v>
      </c>
      <c r="G746" t="s">
        <v>21</v>
      </c>
      <c r="H746" t="s">
        <v>15</v>
      </c>
      <c r="I746">
        <v>1</v>
      </c>
      <c r="J746" t="s">
        <v>46</v>
      </c>
      <c r="K746" t="s">
        <v>32</v>
      </c>
      <c r="L746">
        <v>56</v>
      </c>
      <c r="M746" t="str">
        <f t="shared" si="12"/>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2"/>
        <v>Middle Age</v>
      </c>
      <c r="N747" t="s">
        <v>15</v>
      </c>
    </row>
    <row r="748" spans="1:14" x14ac:dyDescent="0.25">
      <c r="A748">
        <v>28043</v>
      </c>
      <c r="B748" t="s">
        <v>36</v>
      </c>
      <c r="C748" t="s">
        <v>39</v>
      </c>
      <c r="D748" s="3">
        <v>60000</v>
      </c>
      <c r="E748">
        <v>2</v>
      </c>
      <c r="F748" t="s">
        <v>13</v>
      </c>
      <c r="G748" t="s">
        <v>28</v>
      </c>
      <c r="H748" t="s">
        <v>15</v>
      </c>
      <c r="I748">
        <v>0</v>
      </c>
      <c r="J748" t="s">
        <v>46</v>
      </c>
      <c r="K748" t="s">
        <v>32</v>
      </c>
      <c r="L748">
        <v>56</v>
      </c>
      <c r="M748" t="str">
        <f t="shared" si="12"/>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2"/>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2"/>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2"/>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2"/>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2"/>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2"/>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2"/>
        <v>Adolescent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2"/>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2"/>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2"/>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2"/>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2"/>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2"/>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2"/>
        <v>Middle Age</v>
      </c>
      <c r="N762" t="s">
        <v>18</v>
      </c>
    </row>
    <row r="763" spans="1:14" x14ac:dyDescent="0.25">
      <c r="A763">
        <v>13216</v>
      </c>
      <c r="B763" t="s">
        <v>36</v>
      </c>
      <c r="C763" t="s">
        <v>39</v>
      </c>
      <c r="D763" s="3">
        <v>60000</v>
      </c>
      <c r="E763">
        <v>5</v>
      </c>
      <c r="F763" t="s">
        <v>13</v>
      </c>
      <c r="G763" t="s">
        <v>28</v>
      </c>
      <c r="H763" t="s">
        <v>15</v>
      </c>
      <c r="I763">
        <v>3</v>
      </c>
      <c r="J763" t="s">
        <v>46</v>
      </c>
      <c r="K763" t="s">
        <v>32</v>
      </c>
      <c r="L763">
        <v>59</v>
      </c>
      <c r="M763" t="str">
        <f t="shared" si="12"/>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2"/>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2"/>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2"/>
        <v>Adolescent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2"/>
        <v>Middle Age</v>
      </c>
      <c r="N767" t="s">
        <v>15</v>
      </c>
    </row>
    <row r="768" spans="1:14" x14ac:dyDescent="0.25">
      <c r="A768">
        <v>14608</v>
      </c>
      <c r="B768" t="s">
        <v>36</v>
      </c>
      <c r="C768" t="s">
        <v>38</v>
      </c>
      <c r="D768" s="3">
        <v>50000</v>
      </c>
      <c r="E768">
        <v>4</v>
      </c>
      <c r="F768" t="s">
        <v>13</v>
      </c>
      <c r="G768" t="s">
        <v>14</v>
      </c>
      <c r="H768" t="s">
        <v>15</v>
      </c>
      <c r="I768">
        <v>3</v>
      </c>
      <c r="J768" t="s">
        <v>46</v>
      </c>
      <c r="K768" t="s">
        <v>32</v>
      </c>
      <c r="L768">
        <v>42</v>
      </c>
      <c r="M768" t="str">
        <f t="shared" si="12"/>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2"/>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2"/>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3">IF(L771&gt;54, "Old", IF(L771&gt;31,"Middle Age",IF(L771&lt;31,"Adolescent","Invalid")))</f>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3"/>
        <v>Old</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3"/>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3"/>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3"/>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3"/>
        <v>Middle Age</v>
      </c>
      <c r="N776" t="s">
        <v>15</v>
      </c>
    </row>
    <row r="777" spans="1:14" x14ac:dyDescent="0.25">
      <c r="A777">
        <v>29030</v>
      </c>
      <c r="B777" t="s">
        <v>36</v>
      </c>
      <c r="C777" t="s">
        <v>38</v>
      </c>
      <c r="D777" s="3">
        <v>70000</v>
      </c>
      <c r="E777">
        <v>2</v>
      </c>
      <c r="F777" t="s">
        <v>29</v>
      </c>
      <c r="G777" t="s">
        <v>14</v>
      </c>
      <c r="H777" t="s">
        <v>15</v>
      </c>
      <c r="I777">
        <v>2</v>
      </c>
      <c r="J777" t="s">
        <v>46</v>
      </c>
      <c r="K777" t="s">
        <v>32</v>
      </c>
      <c r="L777">
        <v>54</v>
      </c>
      <c r="M777" t="str">
        <f t="shared" si="13"/>
        <v>Middle 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3"/>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3"/>
        <v>Adolescent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3"/>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3"/>
        <v>Middle Age</v>
      </c>
      <c r="N781" t="s">
        <v>15</v>
      </c>
    </row>
    <row r="782" spans="1:14" x14ac:dyDescent="0.25">
      <c r="A782">
        <v>18105</v>
      </c>
      <c r="B782" t="s">
        <v>36</v>
      </c>
      <c r="C782" t="s">
        <v>39</v>
      </c>
      <c r="D782" s="3">
        <v>60000</v>
      </c>
      <c r="E782">
        <v>2</v>
      </c>
      <c r="F782" t="s">
        <v>19</v>
      </c>
      <c r="G782" t="s">
        <v>21</v>
      </c>
      <c r="H782" t="s">
        <v>15</v>
      </c>
      <c r="I782">
        <v>1</v>
      </c>
      <c r="J782" t="s">
        <v>46</v>
      </c>
      <c r="K782" t="s">
        <v>32</v>
      </c>
      <c r="L782">
        <v>55</v>
      </c>
      <c r="M782" t="str">
        <f t="shared" si="13"/>
        <v>Old</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3"/>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3"/>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3"/>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3"/>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3"/>
        <v>Adolescent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3"/>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3"/>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3"/>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3"/>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3"/>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3"/>
        <v>Adolescent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3"/>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3"/>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3"/>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3"/>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3"/>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3"/>
        <v>Adolescent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3"/>
        <v>Adolescent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3"/>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3"/>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3"/>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3"/>
        <v>Adolescent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3"/>
        <v>Adolescent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3"/>
        <v>Adolescent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IF(L807&gt;54, "Old", IF(L807&gt;30,"Middle Age",IF(L807&lt;31,"Adolescent","Invalid")))</f>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3"/>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3"/>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3"/>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3"/>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3"/>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IF(L813&gt;54, "Old", IF(L813&gt;30,"Middle Age",IF(L813&lt;31,"Adolescent","Invalid")))</f>
        <v>Middle Age</v>
      </c>
      <c r="N813" t="s">
        <v>18</v>
      </c>
    </row>
    <row r="814" spans="1:14" x14ac:dyDescent="0.25">
      <c r="A814">
        <v>15749</v>
      </c>
      <c r="B814" t="s">
        <v>37</v>
      </c>
      <c r="C814" t="s">
        <v>39</v>
      </c>
      <c r="D814" s="3">
        <v>70000</v>
      </c>
      <c r="E814">
        <v>4</v>
      </c>
      <c r="F814" t="s">
        <v>13</v>
      </c>
      <c r="G814" t="s">
        <v>28</v>
      </c>
      <c r="H814" t="s">
        <v>15</v>
      </c>
      <c r="I814">
        <v>2</v>
      </c>
      <c r="J814" t="s">
        <v>46</v>
      </c>
      <c r="K814" t="s">
        <v>32</v>
      </c>
      <c r="L814">
        <v>61</v>
      </c>
      <c r="M814" t="str">
        <f t="shared" si="13"/>
        <v>Old</v>
      </c>
      <c r="N814" t="s">
        <v>18</v>
      </c>
    </row>
    <row r="815" spans="1:14" x14ac:dyDescent="0.25">
      <c r="A815">
        <v>25899</v>
      </c>
      <c r="B815" t="s">
        <v>36</v>
      </c>
      <c r="C815" t="s">
        <v>39</v>
      </c>
      <c r="D815" s="3">
        <v>70000</v>
      </c>
      <c r="E815">
        <v>2</v>
      </c>
      <c r="F815" t="s">
        <v>27</v>
      </c>
      <c r="G815" t="s">
        <v>21</v>
      </c>
      <c r="H815" t="s">
        <v>15</v>
      </c>
      <c r="I815">
        <v>2</v>
      </c>
      <c r="J815" t="s">
        <v>46</v>
      </c>
      <c r="K815" t="s">
        <v>32</v>
      </c>
      <c r="L815">
        <v>53</v>
      </c>
      <c r="M815" t="str">
        <f t="shared" si="13"/>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3"/>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3"/>
        <v>Adolescent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3"/>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3"/>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3"/>
        <v>Adolescent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3"/>
        <v>Adolescent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3"/>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3"/>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3"/>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3"/>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3"/>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3"/>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3"/>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3"/>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3"/>
        <v>Adolescent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3"/>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3"/>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3"/>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3"/>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4">IF(L835&gt;54, "Old", IF(L835&gt;31,"Middle Age",IF(L835&lt;31,"Adolescent","Invalid")))</f>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4"/>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4"/>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4"/>
        <v>Adolescent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4"/>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4"/>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4"/>
        <v>Middle Age</v>
      </c>
      <c r="N841" t="s">
        <v>15</v>
      </c>
    </row>
    <row r="842" spans="1:14" x14ac:dyDescent="0.25">
      <c r="A842">
        <v>11233</v>
      </c>
      <c r="B842" t="s">
        <v>36</v>
      </c>
      <c r="C842" t="s">
        <v>38</v>
      </c>
      <c r="D842" s="3">
        <v>70000</v>
      </c>
      <c r="E842">
        <v>4</v>
      </c>
      <c r="F842" t="s">
        <v>19</v>
      </c>
      <c r="G842" t="s">
        <v>21</v>
      </c>
      <c r="H842" t="s">
        <v>15</v>
      </c>
      <c r="I842">
        <v>2</v>
      </c>
      <c r="J842" t="s">
        <v>46</v>
      </c>
      <c r="K842" t="s">
        <v>32</v>
      </c>
      <c r="L842">
        <v>53</v>
      </c>
      <c r="M842" t="str">
        <f t="shared" si="14"/>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4"/>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4"/>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4"/>
        <v>Middle Age</v>
      </c>
      <c r="N845" t="s">
        <v>18</v>
      </c>
    </row>
    <row r="846" spans="1:14" x14ac:dyDescent="0.25">
      <c r="A846">
        <v>22743</v>
      </c>
      <c r="B846" t="s">
        <v>36</v>
      </c>
      <c r="C846" t="s">
        <v>39</v>
      </c>
      <c r="D846" s="3">
        <v>40000</v>
      </c>
      <c r="E846">
        <v>5</v>
      </c>
      <c r="F846" t="s">
        <v>27</v>
      </c>
      <c r="G846" t="s">
        <v>21</v>
      </c>
      <c r="H846" t="s">
        <v>15</v>
      </c>
      <c r="I846">
        <v>2</v>
      </c>
      <c r="J846" t="s">
        <v>46</v>
      </c>
      <c r="K846" t="s">
        <v>32</v>
      </c>
      <c r="L846">
        <v>60</v>
      </c>
      <c r="M846" t="str">
        <f t="shared" si="14"/>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4"/>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4"/>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4"/>
        <v>Adolescent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4"/>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4"/>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4"/>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4"/>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4"/>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4"/>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4"/>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IF(L857&gt;54, "Old", IF(L857&gt;30,"Middle Age",IF(L857&lt;31,"Adolescent","Invalid")))</f>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4"/>
        <v>Adolescent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4"/>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4"/>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4"/>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4"/>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4"/>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4"/>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4"/>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IF(L866&gt;54, "Old", IF(L866&gt;30,"Middle Age",IF(L866&lt;31,"Adolescent","Invalid")))</f>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4"/>
        <v>Middle Age</v>
      </c>
      <c r="N867" t="s">
        <v>15</v>
      </c>
    </row>
    <row r="868" spans="1:14" x14ac:dyDescent="0.25">
      <c r="A868">
        <v>28052</v>
      </c>
      <c r="B868" t="s">
        <v>36</v>
      </c>
      <c r="C868" t="s">
        <v>38</v>
      </c>
      <c r="D868" s="3">
        <v>60000</v>
      </c>
      <c r="E868">
        <v>2</v>
      </c>
      <c r="F868" t="s">
        <v>27</v>
      </c>
      <c r="G868" t="s">
        <v>21</v>
      </c>
      <c r="H868" t="s">
        <v>15</v>
      </c>
      <c r="I868">
        <v>2</v>
      </c>
      <c r="J868" t="s">
        <v>46</v>
      </c>
      <c r="K868" t="s">
        <v>32</v>
      </c>
      <c r="L868">
        <v>55</v>
      </c>
      <c r="M868" t="str">
        <f t="shared" si="14"/>
        <v>Old</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4"/>
        <v>Middle Age</v>
      </c>
      <c r="N869" t="s">
        <v>18</v>
      </c>
    </row>
    <row r="870" spans="1:14" x14ac:dyDescent="0.25">
      <c r="A870">
        <v>24955</v>
      </c>
      <c r="B870" t="s">
        <v>37</v>
      </c>
      <c r="C870" t="s">
        <v>38</v>
      </c>
      <c r="D870" s="3">
        <v>30000</v>
      </c>
      <c r="E870">
        <v>5</v>
      </c>
      <c r="F870" t="s">
        <v>29</v>
      </c>
      <c r="G870" t="s">
        <v>14</v>
      </c>
      <c r="H870" t="s">
        <v>15</v>
      </c>
      <c r="I870">
        <v>3</v>
      </c>
      <c r="J870" t="s">
        <v>46</v>
      </c>
      <c r="K870" t="s">
        <v>32</v>
      </c>
      <c r="L870">
        <v>60</v>
      </c>
      <c r="M870" t="str">
        <f t="shared" si="14"/>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4"/>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4"/>
        <v>Middle Age</v>
      </c>
      <c r="N872" t="s">
        <v>18</v>
      </c>
    </row>
    <row r="873" spans="1:14" x14ac:dyDescent="0.25">
      <c r="A873">
        <v>11219</v>
      </c>
      <c r="B873" t="s">
        <v>36</v>
      </c>
      <c r="C873" t="s">
        <v>38</v>
      </c>
      <c r="D873" s="3">
        <v>60000</v>
      </c>
      <c r="E873">
        <v>2</v>
      </c>
      <c r="F873" t="s">
        <v>27</v>
      </c>
      <c r="G873" t="s">
        <v>21</v>
      </c>
      <c r="H873" t="s">
        <v>15</v>
      </c>
      <c r="I873">
        <v>2</v>
      </c>
      <c r="J873" t="s">
        <v>46</v>
      </c>
      <c r="K873" t="s">
        <v>32</v>
      </c>
      <c r="L873">
        <v>55</v>
      </c>
      <c r="M873" t="str">
        <f t="shared" si="14"/>
        <v>Old</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4"/>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4"/>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4"/>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4"/>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4"/>
        <v>Adolescent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4"/>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4"/>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4"/>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4"/>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4"/>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4"/>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4"/>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4"/>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4"/>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4"/>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4"/>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4"/>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4"/>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4"/>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4"/>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4"/>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4"/>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4"/>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4"/>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4"/>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5">IF(L899&gt;54, "Old", IF(L899&gt;31,"Middle Age",IF(L899&lt;31,"Adolescent","Invalid")))</f>
        <v>Adolescent</v>
      </c>
      <c r="N899" t="s">
        <v>18</v>
      </c>
    </row>
    <row r="900" spans="1:14" x14ac:dyDescent="0.25">
      <c r="A900">
        <v>18066</v>
      </c>
      <c r="B900" t="s">
        <v>37</v>
      </c>
      <c r="C900" t="s">
        <v>38</v>
      </c>
      <c r="D900" s="3">
        <v>70000</v>
      </c>
      <c r="E900">
        <v>5</v>
      </c>
      <c r="F900" t="s">
        <v>13</v>
      </c>
      <c r="G900" t="s">
        <v>28</v>
      </c>
      <c r="H900" t="s">
        <v>15</v>
      </c>
      <c r="I900">
        <v>3</v>
      </c>
      <c r="J900" t="s">
        <v>46</v>
      </c>
      <c r="K900" t="s">
        <v>32</v>
      </c>
      <c r="L900">
        <v>60</v>
      </c>
      <c r="M900" t="str">
        <f t="shared" si="15"/>
        <v>Old</v>
      </c>
      <c r="N900" t="s">
        <v>15</v>
      </c>
    </row>
    <row r="901" spans="1:14" x14ac:dyDescent="0.25">
      <c r="A901">
        <v>28192</v>
      </c>
      <c r="B901" t="s">
        <v>36</v>
      </c>
      <c r="C901" t="s">
        <v>39</v>
      </c>
      <c r="D901" s="3">
        <v>70000</v>
      </c>
      <c r="E901">
        <v>5</v>
      </c>
      <c r="F901" t="s">
        <v>31</v>
      </c>
      <c r="G901" t="s">
        <v>21</v>
      </c>
      <c r="H901" t="s">
        <v>15</v>
      </c>
      <c r="I901">
        <v>3</v>
      </c>
      <c r="J901" t="s">
        <v>46</v>
      </c>
      <c r="K901" t="s">
        <v>32</v>
      </c>
      <c r="L901">
        <v>46</v>
      </c>
      <c r="M901" t="str">
        <f t="shared" si="15"/>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5"/>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5"/>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5"/>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5"/>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5"/>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5"/>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5"/>
        <v>Middle Age</v>
      </c>
      <c r="N908" t="s">
        <v>15</v>
      </c>
    </row>
    <row r="909" spans="1:14" x14ac:dyDescent="0.25">
      <c r="A909">
        <v>19747</v>
      </c>
      <c r="B909" t="s">
        <v>36</v>
      </c>
      <c r="C909" t="s">
        <v>38</v>
      </c>
      <c r="D909" s="3">
        <v>50000</v>
      </c>
      <c r="E909">
        <v>4</v>
      </c>
      <c r="F909" t="s">
        <v>13</v>
      </c>
      <c r="G909" t="s">
        <v>28</v>
      </c>
      <c r="H909" t="s">
        <v>15</v>
      </c>
      <c r="I909">
        <v>2</v>
      </c>
      <c r="J909" t="s">
        <v>46</v>
      </c>
      <c r="K909" t="s">
        <v>32</v>
      </c>
      <c r="L909">
        <v>63</v>
      </c>
      <c r="M909" t="str">
        <f t="shared" si="15"/>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5"/>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5"/>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5"/>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5"/>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5"/>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5"/>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5"/>
        <v>Middle Age</v>
      </c>
      <c r="N916" t="s">
        <v>18</v>
      </c>
    </row>
    <row r="917" spans="1:14" x14ac:dyDescent="0.25">
      <c r="A917">
        <v>21752</v>
      </c>
      <c r="B917" t="s">
        <v>36</v>
      </c>
      <c r="C917" t="s">
        <v>38</v>
      </c>
      <c r="D917" s="3">
        <v>60000</v>
      </c>
      <c r="E917">
        <v>3</v>
      </c>
      <c r="F917" t="s">
        <v>31</v>
      </c>
      <c r="G917" t="s">
        <v>28</v>
      </c>
      <c r="H917" t="s">
        <v>15</v>
      </c>
      <c r="I917">
        <v>2</v>
      </c>
      <c r="J917" t="s">
        <v>46</v>
      </c>
      <c r="K917" t="s">
        <v>32</v>
      </c>
      <c r="L917">
        <v>64</v>
      </c>
      <c r="M917" t="str">
        <f t="shared" si="15"/>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5"/>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5"/>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5"/>
        <v>Middle Age</v>
      </c>
      <c r="N920" t="s">
        <v>15</v>
      </c>
    </row>
    <row r="921" spans="1:14" x14ac:dyDescent="0.25">
      <c r="A921">
        <v>21451</v>
      </c>
      <c r="B921" t="s">
        <v>36</v>
      </c>
      <c r="C921" t="s">
        <v>39</v>
      </c>
      <c r="D921" s="3">
        <v>40000</v>
      </c>
      <c r="E921">
        <v>4</v>
      </c>
      <c r="F921" t="s">
        <v>27</v>
      </c>
      <c r="G921" t="s">
        <v>21</v>
      </c>
      <c r="H921" t="s">
        <v>15</v>
      </c>
      <c r="I921">
        <v>2</v>
      </c>
      <c r="J921" t="s">
        <v>46</v>
      </c>
      <c r="K921" t="s">
        <v>32</v>
      </c>
      <c r="L921">
        <v>61</v>
      </c>
      <c r="M921" t="str">
        <f t="shared" si="15"/>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5"/>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5"/>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5"/>
        <v>Middle 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5"/>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5"/>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5"/>
        <v>Middle Age</v>
      </c>
      <c r="N927" t="s">
        <v>15</v>
      </c>
    </row>
    <row r="928" spans="1:14" x14ac:dyDescent="0.25">
      <c r="A928">
        <v>26495</v>
      </c>
      <c r="B928" t="s">
        <v>37</v>
      </c>
      <c r="C928" t="s">
        <v>39</v>
      </c>
      <c r="D928" s="3">
        <v>40000</v>
      </c>
      <c r="E928">
        <v>2</v>
      </c>
      <c r="F928" t="s">
        <v>27</v>
      </c>
      <c r="G928" t="s">
        <v>21</v>
      </c>
      <c r="H928" t="s">
        <v>15</v>
      </c>
      <c r="I928">
        <v>2</v>
      </c>
      <c r="J928" t="s">
        <v>46</v>
      </c>
      <c r="K928" t="s">
        <v>32</v>
      </c>
      <c r="L928">
        <v>57</v>
      </c>
      <c r="M928" t="str">
        <f t="shared" si="15"/>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5"/>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5"/>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5"/>
        <v>Middle Age</v>
      </c>
      <c r="N931" t="s">
        <v>18</v>
      </c>
    </row>
    <row r="932" spans="1:14" x14ac:dyDescent="0.25">
      <c r="A932">
        <v>19543</v>
      </c>
      <c r="B932" t="s">
        <v>36</v>
      </c>
      <c r="C932" t="s">
        <v>38</v>
      </c>
      <c r="D932" s="3">
        <v>70000</v>
      </c>
      <c r="E932">
        <v>5</v>
      </c>
      <c r="F932" t="s">
        <v>31</v>
      </c>
      <c r="G932" t="s">
        <v>21</v>
      </c>
      <c r="H932" t="s">
        <v>18</v>
      </c>
      <c r="I932">
        <v>3</v>
      </c>
      <c r="J932" t="s">
        <v>46</v>
      </c>
      <c r="K932" t="s">
        <v>32</v>
      </c>
      <c r="L932">
        <v>47</v>
      </c>
      <c r="M932" t="str">
        <f t="shared" si="15"/>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5"/>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5"/>
        <v>Adolescent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5"/>
        <v>Adolescent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5"/>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5"/>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5"/>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5"/>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5"/>
        <v>Adolescent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5"/>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5"/>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5"/>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5"/>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5"/>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5"/>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5"/>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5"/>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5"/>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5"/>
        <v>Middle Age</v>
      </c>
      <c r="N950" t="s">
        <v>18</v>
      </c>
    </row>
    <row r="951" spans="1:14" x14ac:dyDescent="0.25">
      <c r="A951">
        <v>28056</v>
      </c>
      <c r="B951" t="s">
        <v>36</v>
      </c>
      <c r="C951" t="s">
        <v>38</v>
      </c>
      <c r="D951" s="3">
        <v>70000</v>
      </c>
      <c r="E951">
        <v>2</v>
      </c>
      <c r="F951" t="s">
        <v>29</v>
      </c>
      <c r="G951" t="s">
        <v>14</v>
      </c>
      <c r="H951" t="s">
        <v>15</v>
      </c>
      <c r="I951">
        <v>2</v>
      </c>
      <c r="J951" t="s">
        <v>46</v>
      </c>
      <c r="K951" t="s">
        <v>32</v>
      </c>
      <c r="L951">
        <v>53</v>
      </c>
      <c r="M951" t="str">
        <f t="shared" si="15"/>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5"/>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5"/>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5"/>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5"/>
        <v>Adolescent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5"/>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5"/>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5"/>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5"/>
        <v>Adolescent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5"/>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5"/>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5"/>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6">IF(L963&gt;54, "Old", IF(L963&gt;31,"Middle Age",IF(L963&lt;31,"Adolescent","Invalid")))</f>
        <v>Old</v>
      </c>
      <c r="N963" t="s">
        <v>18</v>
      </c>
    </row>
    <row r="964" spans="1:14" x14ac:dyDescent="0.25">
      <c r="A964">
        <v>16813</v>
      </c>
      <c r="B964" t="s">
        <v>36</v>
      </c>
      <c r="C964" t="s">
        <v>38</v>
      </c>
      <c r="D964" s="3">
        <v>60000</v>
      </c>
      <c r="E964">
        <v>2</v>
      </c>
      <c r="F964" t="s">
        <v>19</v>
      </c>
      <c r="G964" t="s">
        <v>21</v>
      </c>
      <c r="H964" t="s">
        <v>15</v>
      </c>
      <c r="I964">
        <v>2</v>
      </c>
      <c r="J964" t="s">
        <v>46</v>
      </c>
      <c r="K964" t="s">
        <v>32</v>
      </c>
      <c r="L964">
        <v>55</v>
      </c>
      <c r="M964" t="str">
        <f t="shared" si="16"/>
        <v>Old</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6"/>
        <v>Old</v>
      </c>
      <c r="N965" t="s">
        <v>15</v>
      </c>
    </row>
    <row r="966" spans="1:14" x14ac:dyDescent="0.25">
      <c r="A966">
        <v>27434</v>
      </c>
      <c r="B966" t="s">
        <v>37</v>
      </c>
      <c r="C966" t="s">
        <v>38</v>
      </c>
      <c r="D966" s="3">
        <v>70000</v>
      </c>
      <c r="E966">
        <v>4</v>
      </c>
      <c r="F966" t="s">
        <v>19</v>
      </c>
      <c r="G966" t="s">
        <v>21</v>
      </c>
      <c r="H966" t="s">
        <v>15</v>
      </c>
      <c r="I966">
        <v>1</v>
      </c>
      <c r="J966" t="s">
        <v>46</v>
      </c>
      <c r="K966" t="s">
        <v>32</v>
      </c>
      <c r="L966">
        <v>56</v>
      </c>
      <c r="M966" t="str">
        <f t="shared" si="16"/>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6"/>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6"/>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6"/>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6"/>
        <v>Adolescent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6"/>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IF(L972&gt;54, "Old", IF(L972&gt;30,"Middle Age",IF(L972&lt;31,"Adolescent","Invalid")))</f>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6"/>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6"/>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6"/>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6"/>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6"/>
        <v>Middle Age</v>
      </c>
      <c r="N977" t="s">
        <v>15</v>
      </c>
    </row>
    <row r="978" spans="1:14" x14ac:dyDescent="0.25">
      <c r="A978">
        <v>28004</v>
      </c>
      <c r="B978" t="s">
        <v>36</v>
      </c>
      <c r="C978" t="s">
        <v>39</v>
      </c>
      <c r="D978" s="3">
        <v>60000</v>
      </c>
      <c r="E978">
        <v>3</v>
      </c>
      <c r="F978" t="s">
        <v>13</v>
      </c>
      <c r="G978" t="s">
        <v>28</v>
      </c>
      <c r="H978" t="s">
        <v>15</v>
      </c>
      <c r="I978">
        <v>2</v>
      </c>
      <c r="J978" t="s">
        <v>46</v>
      </c>
      <c r="K978" t="s">
        <v>32</v>
      </c>
      <c r="L978">
        <v>66</v>
      </c>
      <c r="M978" t="str">
        <f t="shared" si="16"/>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6"/>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6"/>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IF(L981&gt;54, "Old", IF(L981&gt;30,"Middle Age",IF(L981&lt;31,"Adolescent","Invalid")))</f>
        <v>Middle Age</v>
      </c>
      <c r="N981" t="s">
        <v>18</v>
      </c>
    </row>
    <row r="982" spans="1:14" x14ac:dyDescent="0.25">
      <c r="A982">
        <v>18594</v>
      </c>
      <c r="B982" t="s">
        <v>37</v>
      </c>
      <c r="C982" t="s">
        <v>39</v>
      </c>
      <c r="D982" s="3">
        <v>80000</v>
      </c>
      <c r="E982">
        <v>3</v>
      </c>
      <c r="F982" t="s">
        <v>13</v>
      </c>
      <c r="G982" t="s">
        <v>14</v>
      </c>
      <c r="H982" t="s">
        <v>15</v>
      </c>
      <c r="I982">
        <v>3</v>
      </c>
      <c r="J982" t="s">
        <v>46</v>
      </c>
      <c r="K982" t="s">
        <v>32</v>
      </c>
      <c r="L982">
        <v>40</v>
      </c>
      <c r="M982" t="str">
        <f t="shared" si="16"/>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6"/>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6"/>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6"/>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6"/>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6"/>
        <v>Middle Age</v>
      </c>
      <c r="N987" t="s">
        <v>18</v>
      </c>
    </row>
    <row r="988" spans="1:14" x14ac:dyDescent="0.25">
      <c r="A988">
        <v>23704</v>
      </c>
      <c r="B988" t="s">
        <v>37</v>
      </c>
      <c r="C988" t="s">
        <v>38</v>
      </c>
      <c r="D988" s="3">
        <v>40000</v>
      </c>
      <c r="E988">
        <v>5</v>
      </c>
      <c r="F988" t="s">
        <v>27</v>
      </c>
      <c r="G988" t="s">
        <v>21</v>
      </c>
      <c r="H988" t="s">
        <v>15</v>
      </c>
      <c r="I988">
        <v>4</v>
      </c>
      <c r="J988" t="s">
        <v>46</v>
      </c>
      <c r="K988" t="s">
        <v>32</v>
      </c>
      <c r="L988">
        <v>60</v>
      </c>
      <c r="M988" t="str">
        <f t="shared" si="16"/>
        <v>Old</v>
      </c>
      <c r="N988" t="s">
        <v>15</v>
      </c>
    </row>
    <row r="989" spans="1:14" x14ac:dyDescent="0.25">
      <c r="A989">
        <v>28972</v>
      </c>
      <c r="B989" t="s">
        <v>37</v>
      </c>
      <c r="C989" t="s">
        <v>39</v>
      </c>
      <c r="D989" s="3">
        <v>60000</v>
      </c>
      <c r="E989">
        <v>3</v>
      </c>
      <c r="F989" t="s">
        <v>31</v>
      </c>
      <c r="G989" t="s">
        <v>28</v>
      </c>
      <c r="H989" t="s">
        <v>15</v>
      </c>
      <c r="I989">
        <v>2</v>
      </c>
      <c r="J989" t="s">
        <v>46</v>
      </c>
      <c r="K989" t="s">
        <v>32</v>
      </c>
      <c r="L989">
        <v>66</v>
      </c>
      <c r="M989" t="str">
        <f t="shared" si="16"/>
        <v>Old</v>
      </c>
      <c r="N989" t="s">
        <v>18</v>
      </c>
    </row>
    <row r="990" spans="1:14" x14ac:dyDescent="0.25">
      <c r="A990">
        <v>22730</v>
      </c>
      <c r="B990" t="s">
        <v>36</v>
      </c>
      <c r="C990" t="s">
        <v>38</v>
      </c>
      <c r="D990" s="3">
        <v>70000</v>
      </c>
      <c r="E990">
        <v>5</v>
      </c>
      <c r="F990" t="s">
        <v>13</v>
      </c>
      <c r="G990" t="s">
        <v>28</v>
      </c>
      <c r="H990" t="s">
        <v>15</v>
      </c>
      <c r="I990">
        <v>2</v>
      </c>
      <c r="J990" t="s">
        <v>46</v>
      </c>
      <c r="K990" t="s">
        <v>32</v>
      </c>
      <c r="L990">
        <v>63</v>
      </c>
      <c r="M990" t="str">
        <f t="shared" si="16"/>
        <v>Old</v>
      </c>
      <c r="N990" t="s">
        <v>18</v>
      </c>
    </row>
    <row r="991" spans="1:14" x14ac:dyDescent="0.25">
      <c r="A991">
        <v>29134</v>
      </c>
      <c r="B991" t="s">
        <v>36</v>
      </c>
      <c r="C991" t="s">
        <v>38</v>
      </c>
      <c r="D991" s="3">
        <v>60000</v>
      </c>
      <c r="E991">
        <v>4</v>
      </c>
      <c r="F991" t="s">
        <v>13</v>
      </c>
      <c r="G991" t="s">
        <v>14</v>
      </c>
      <c r="H991" t="s">
        <v>18</v>
      </c>
      <c r="I991">
        <v>3</v>
      </c>
      <c r="J991" t="s">
        <v>46</v>
      </c>
      <c r="K991" t="s">
        <v>32</v>
      </c>
      <c r="L991">
        <v>42</v>
      </c>
      <c r="M991" t="str">
        <f t="shared" si="16"/>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6"/>
        <v>Adolescent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6"/>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6"/>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6"/>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6"/>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6"/>
        <v>Middle 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6"/>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6"/>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6"/>
        <v>Middle Age</v>
      </c>
      <c r="N1000" t="s">
        <v>18</v>
      </c>
    </row>
    <row r="1001" spans="1:14" x14ac:dyDescent="0.25">
      <c r="A1001">
        <v>12121</v>
      </c>
      <c r="B1001" t="s">
        <v>37</v>
      </c>
      <c r="C1001" t="s">
        <v>38</v>
      </c>
      <c r="D1001" s="3">
        <v>60000</v>
      </c>
      <c r="E1001">
        <v>3</v>
      </c>
      <c r="F1001" t="s">
        <v>27</v>
      </c>
      <c r="G1001" t="s">
        <v>21</v>
      </c>
      <c r="H1001" t="s">
        <v>15</v>
      </c>
      <c r="I1001">
        <v>2</v>
      </c>
      <c r="J1001" t="s">
        <v>46</v>
      </c>
      <c r="K1001" t="s">
        <v>32</v>
      </c>
      <c r="L1001">
        <v>53</v>
      </c>
      <c r="M1001" t="str">
        <f t="shared" si="16"/>
        <v>Middle Age</v>
      </c>
      <c r="N1001" t="s">
        <v>15</v>
      </c>
    </row>
  </sheetData>
  <autoFilter ref="A1:N1001" xr:uid="{D4536516-CDF1-A841-806C-15116CB814C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F2A94-12B2-2540-8A7A-03491812A1CD}">
  <dimension ref="A1:D38"/>
  <sheetViews>
    <sheetView workbookViewId="0">
      <selection activeCell="O28" sqref="O28"/>
    </sheetView>
  </sheetViews>
  <sheetFormatPr defaultColWidth="11.42578125" defaultRowHeight="15" x14ac:dyDescent="0.25"/>
  <cols>
    <col min="1" max="1" width="22.85546875" bestFit="1" customWidth="1"/>
    <col min="2" max="2" width="16.28515625" bestFit="1" customWidth="1"/>
    <col min="3" max="3" width="4.140625" bestFit="1" customWidth="1"/>
    <col min="4" max="4" width="11.28515625" bestFit="1" customWidth="1"/>
    <col min="14" max="14" width="19.85546875" bestFit="1" customWidth="1"/>
    <col min="15" max="15" width="14.85546875" bestFit="1" customWidth="1"/>
    <col min="16" max="16" width="4.140625" bestFit="1" customWidth="1"/>
    <col min="17" max="17" width="10" bestFit="1" customWidth="1"/>
    <col min="18" max="18" width="16.42578125" bestFit="1" customWidth="1"/>
    <col min="19" max="19" width="10" bestFit="1" customWidth="1"/>
  </cols>
  <sheetData>
    <row r="1" spans="1:4" x14ac:dyDescent="0.25">
      <c r="A1" s="4" t="s">
        <v>44</v>
      </c>
      <c r="B1" s="4" t="s">
        <v>43</v>
      </c>
    </row>
    <row r="2" spans="1:4" x14ac:dyDescent="0.25">
      <c r="A2" s="4" t="s">
        <v>41</v>
      </c>
      <c r="B2" t="s">
        <v>18</v>
      </c>
      <c r="C2" t="s">
        <v>15</v>
      </c>
      <c r="D2" t="s">
        <v>42</v>
      </c>
    </row>
    <row r="3" spans="1:4" x14ac:dyDescent="0.25">
      <c r="A3" s="5" t="s">
        <v>39</v>
      </c>
      <c r="B3" s="6">
        <v>53440</v>
      </c>
      <c r="C3" s="6">
        <v>55774.058577405856</v>
      </c>
      <c r="D3" s="6">
        <v>54580.777096114522</v>
      </c>
    </row>
    <row r="4" spans="1:4" x14ac:dyDescent="0.25">
      <c r="A4" s="5" t="s">
        <v>38</v>
      </c>
      <c r="B4" s="6">
        <v>56208.178438661707</v>
      </c>
      <c r="C4" s="6">
        <v>60123.966942148763</v>
      </c>
      <c r="D4" s="6">
        <v>58062.62230919765</v>
      </c>
    </row>
    <row r="5" spans="1:4" x14ac:dyDescent="0.25">
      <c r="A5" s="5" t="s">
        <v>42</v>
      </c>
      <c r="B5">
        <v>54874.759152215796</v>
      </c>
      <c r="C5">
        <v>57962.577962577961</v>
      </c>
      <c r="D5">
        <v>56360</v>
      </c>
    </row>
    <row r="17" spans="1:4" x14ac:dyDescent="0.25">
      <c r="A17" s="4" t="s">
        <v>45</v>
      </c>
      <c r="B17" s="4" t="s">
        <v>43</v>
      </c>
    </row>
    <row r="18" spans="1:4" x14ac:dyDescent="0.25">
      <c r="A18" s="4" t="s">
        <v>41</v>
      </c>
      <c r="B18" t="s">
        <v>18</v>
      </c>
      <c r="C18" t="s">
        <v>15</v>
      </c>
      <c r="D18" t="s">
        <v>42</v>
      </c>
    </row>
    <row r="19" spans="1:4" x14ac:dyDescent="0.25">
      <c r="A19" s="5" t="s">
        <v>16</v>
      </c>
      <c r="B19">
        <v>166</v>
      </c>
      <c r="C19">
        <v>200</v>
      </c>
      <c r="D19">
        <v>366</v>
      </c>
    </row>
    <row r="20" spans="1:4" x14ac:dyDescent="0.25">
      <c r="A20" s="5" t="s">
        <v>26</v>
      </c>
      <c r="B20">
        <v>92</v>
      </c>
      <c r="C20">
        <v>77</v>
      </c>
      <c r="D20">
        <v>169</v>
      </c>
    </row>
    <row r="21" spans="1:4" x14ac:dyDescent="0.25">
      <c r="A21" s="5" t="s">
        <v>22</v>
      </c>
      <c r="B21">
        <v>67</v>
      </c>
      <c r="C21">
        <v>95</v>
      </c>
      <c r="D21">
        <v>162</v>
      </c>
    </row>
    <row r="22" spans="1:4" x14ac:dyDescent="0.25">
      <c r="A22" s="5" t="s">
        <v>23</v>
      </c>
      <c r="B22">
        <v>116</v>
      </c>
      <c r="C22">
        <v>76</v>
      </c>
      <c r="D22">
        <v>192</v>
      </c>
    </row>
    <row r="23" spans="1:4" x14ac:dyDescent="0.25">
      <c r="A23" s="5" t="s">
        <v>46</v>
      </c>
      <c r="B23">
        <v>78</v>
      </c>
      <c r="C23">
        <v>33</v>
      </c>
      <c r="D23">
        <v>111</v>
      </c>
    </row>
    <row r="24" spans="1:4" x14ac:dyDescent="0.25">
      <c r="A24" s="5" t="s">
        <v>42</v>
      </c>
      <c r="B24">
        <v>519</v>
      </c>
      <c r="C24">
        <v>481</v>
      </c>
      <c r="D24">
        <v>1000</v>
      </c>
    </row>
    <row r="33" spans="1:4" x14ac:dyDescent="0.25">
      <c r="A33" s="4" t="s">
        <v>45</v>
      </c>
      <c r="B33" s="4" t="s">
        <v>43</v>
      </c>
    </row>
    <row r="34" spans="1:4" x14ac:dyDescent="0.25">
      <c r="A34" s="4" t="s">
        <v>41</v>
      </c>
      <c r="B34" t="s">
        <v>18</v>
      </c>
      <c r="C34" t="s">
        <v>15</v>
      </c>
      <c r="D34" t="s">
        <v>42</v>
      </c>
    </row>
    <row r="35" spans="1:4" x14ac:dyDescent="0.25">
      <c r="A35" s="5" t="s">
        <v>47</v>
      </c>
      <c r="B35">
        <v>71</v>
      </c>
      <c r="C35">
        <v>39</v>
      </c>
      <c r="D35">
        <v>110</v>
      </c>
    </row>
    <row r="36" spans="1:4" x14ac:dyDescent="0.25">
      <c r="A36" s="5" t="s">
        <v>48</v>
      </c>
      <c r="B36">
        <v>318</v>
      </c>
      <c r="C36">
        <v>383</v>
      </c>
      <c r="D36">
        <v>701</v>
      </c>
    </row>
    <row r="37" spans="1:4" x14ac:dyDescent="0.25">
      <c r="A37" s="5" t="s">
        <v>49</v>
      </c>
      <c r="B37">
        <v>130</v>
      </c>
      <c r="C37">
        <v>59</v>
      </c>
      <c r="D37">
        <v>189</v>
      </c>
    </row>
    <row r="38" spans="1:4" x14ac:dyDescent="0.25">
      <c r="A38" s="5" t="s">
        <v>42</v>
      </c>
      <c r="B38">
        <v>519</v>
      </c>
      <c r="C38">
        <v>481</v>
      </c>
      <c r="D38">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CE15A-5A8C-0748-9E96-8BB1C4B9A5CD}">
  <dimension ref="A1:P48"/>
  <sheetViews>
    <sheetView tabSelected="1" zoomScale="90" zoomScaleNormal="90" workbookViewId="0">
      <selection activeCell="U14" sqref="U14"/>
    </sheetView>
  </sheetViews>
  <sheetFormatPr defaultColWidth="11.42578125" defaultRowHeight="15" x14ac:dyDescent="0.25"/>
  <sheetData>
    <row r="1" spans="1:16" x14ac:dyDescent="0.25">
      <c r="A1" s="10" t="s">
        <v>50</v>
      </c>
      <c r="B1" s="11"/>
      <c r="C1" s="11"/>
      <c r="D1" s="11"/>
      <c r="E1" s="11"/>
      <c r="F1" s="11"/>
      <c r="G1" s="11"/>
      <c r="H1" s="11"/>
      <c r="I1" s="11"/>
      <c r="J1" s="11"/>
      <c r="K1" s="11"/>
      <c r="L1" s="11"/>
      <c r="M1" s="11"/>
      <c r="N1" s="11"/>
      <c r="O1" s="11"/>
      <c r="P1" s="7"/>
    </row>
    <row r="2" spans="1:16" x14ac:dyDescent="0.25">
      <c r="A2" s="11"/>
      <c r="B2" s="11"/>
      <c r="C2" s="11"/>
      <c r="D2" s="11"/>
      <c r="E2" s="11"/>
      <c r="F2" s="11"/>
      <c r="G2" s="11"/>
      <c r="H2" s="11"/>
      <c r="I2" s="11"/>
      <c r="J2" s="11"/>
      <c r="K2" s="11"/>
      <c r="L2" s="11"/>
      <c r="M2" s="11"/>
      <c r="N2" s="11"/>
      <c r="O2" s="11"/>
      <c r="P2" s="7"/>
    </row>
    <row r="3" spans="1:16" x14ac:dyDescent="0.25">
      <c r="A3" s="11"/>
      <c r="B3" s="11"/>
      <c r="C3" s="11"/>
      <c r="D3" s="11"/>
      <c r="E3" s="11"/>
      <c r="F3" s="11"/>
      <c r="G3" s="11"/>
      <c r="H3" s="11"/>
      <c r="I3" s="11"/>
      <c r="J3" s="11"/>
      <c r="K3" s="11"/>
      <c r="L3" s="11"/>
      <c r="M3" s="11"/>
      <c r="N3" s="11"/>
      <c r="O3" s="11"/>
      <c r="P3" s="7"/>
    </row>
    <row r="4" spans="1:16" x14ac:dyDescent="0.25">
      <c r="A4" s="11"/>
      <c r="B4" s="11"/>
      <c r="C4" s="11"/>
      <c r="D4" s="11"/>
      <c r="E4" s="11"/>
      <c r="F4" s="11"/>
      <c r="G4" s="11"/>
      <c r="H4" s="11"/>
      <c r="I4" s="11"/>
      <c r="J4" s="11"/>
      <c r="K4" s="11"/>
      <c r="L4" s="11"/>
      <c r="M4" s="11"/>
      <c r="N4" s="11"/>
      <c r="O4" s="11"/>
      <c r="P4" s="7"/>
    </row>
    <row r="5" spans="1:16" x14ac:dyDescent="0.25">
      <c r="A5" s="11"/>
      <c r="B5" s="11"/>
      <c r="C5" s="11"/>
      <c r="D5" s="11"/>
      <c r="E5" s="11"/>
      <c r="F5" s="11"/>
      <c r="G5" s="11"/>
      <c r="H5" s="11"/>
      <c r="I5" s="11"/>
      <c r="J5" s="11"/>
      <c r="K5" s="11"/>
      <c r="L5" s="11"/>
      <c r="M5" s="11"/>
      <c r="N5" s="11"/>
      <c r="O5" s="11"/>
      <c r="P5" s="7"/>
    </row>
    <row r="6" spans="1:16" x14ac:dyDescent="0.25">
      <c r="A6" s="7"/>
      <c r="B6" s="7"/>
      <c r="C6" s="7"/>
    </row>
    <row r="7" spans="1:16" x14ac:dyDescent="0.25">
      <c r="A7" s="7"/>
      <c r="B7" s="7"/>
      <c r="C7" s="7"/>
    </row>
    <row r="8" spans="1:16" x14ac:dyDescent="0.25">
      <c r="A8" s="7"/>
      <c r="B8" s="7"/>
      <c r="C8" s="7"/>
    </row>
    <row r="9" spans="1:16" x14ac:dyDescent="0.25">
      <c r="A9" s="7"/>
      <c r="B9" s="7"/>
      <c r="C9" s="7"/>
    </row>
    <row r="10" spans="1:16" x14ac:dyDescent="0.25">
      <c r="A10" s="7"/>
      <c r="B10" s="7"/>
      <c r="C10" s="7"/>
    </row>
    <row r="11" spans="1:16" x14ac:dyDescent="0.25">
      <c r="A11" s="7"/>
      <c r="B11" s="7"/>
      <c r="C11" s="7"/>
    </row>
    <row r="12" spans="1:16" x14ac:dyDescent="0.25">
      <c r="A12" s="7"/>
      <c r="B12" s="7"/>
      <c r="C12" s="7"/>
    </row>
    <row r="13" spans="1:16" x14ac:dyDescent="0.25">
      <c r="A13" s="7"/>
      <c r="B13" s="7"/>
      <c r="C13" s="7"/>
    </row>
    <row r="14" spans="1:16" x14ac:dyDescent="0.25">
      <c r="A14" s="7"/>
      <c r="B14" s="7"/>
      <c r="C14" s="7"/>
    </row>
    <row r="15" spans="1:16" x14ac:dyDescent="0.25">
      <c r="A15" s="7"/>
      <c r="B15" s="7"/>
      <c r="C15" s="7"/>
    </row>
    <row r="16" spans="1:16" x14ac:dyDescent="0.25">
      <c r="A16" s="7"/>
      <c r="B16" s="7"/>
      <c r="C16" s="7"/>
    </row>
    <row r="17" spans="1:3" x14ac:dyDescent="0.25">
      <c r="A17" s="7"/>
      <c r="B17" s="7"/>
      <c r="C17" s="7"/>
    </row>
    <row r="18" spans="1:3" x14ac:dyDescent="0.25">
      <c r="A18" s="7"/>
      <c r="B18" s="7"/>
      <c r="C18" s="7"/>
    </row>
    <row r="19" spans="1:3" x14ac:dyDescent="0.25">
      <c r="A19" s="7"/>
      <c r="B19" s="7"/>
      <c r="C19" s="7"/>
    </row>
    <row r="20" spans="1:3" x14ac:dyDescent="0.25">
      <c r="A20" s="7"/>
      <c r="B20" s="7"/>
      <c r="C20" s="7"/>
    </row>
    <row r="21" spans="1:3" x14ac:dyDescent="0.25">
      <c r="A21" s="7"/>
      <c r="B21" s="7"/>
      <c r="C21" s="7"/>
    </row>
    <row r="22" spans="1:3" x14ac:dyDescent="0.25">
      <c r="A22" s="7"/>
      <c r="B22" s="7"/>
      <c r="C22" s="7"/>
    </row>
    <row r="23" spans="1:3" x14ac:dyDescent="0.25">
      <c r="A23" s="7"/>
      <c r="B23" s="7"/>
      <c r="C23" s="7"/>
    </row>
    <row r="24" spans="1:3" x14ac:dyDescent="0.25">
      <c r="A24" s="7"/>
      <c r="B24" s="7"/>
      <c r="C24" s="7"/>
    </row>
    <row r="25" spans="1:3" x14ac:dyDescent="0.25">
      <c r="A25" s="7"/>
      <c r="B25" s="7"/>
      <c r="C25" s="7"/>
    </row>
    <row r="26" spans="1:3" x14ac:dyDescent="0.25">
      <c r="A26" s="7"/>
      <c r="B26" s="7"/>
      <c r="C26" s="7"/>
    </row>
    <row r="27" spans="1:3" x14ac:dyDescent="0.25">
      <c r="A27" s="7"/>
      <c r="B27" s="7"/>
      <c r="C27" s="7"/>
    </row>
    <row r="28" spans="1:3" x14ac:dyDescent="0.25">
      <c r="A28" s="7"/>
      <c r="B28" s="7"/>
      <c r="C28" s="7"/>
    </row>
    <row r="29" spans="1:3" x14ac:dyDescent="0.25">
      <c r="A29" s="7"/>
      <c r="B29" s="7"/>
      <c r="C29" s="7"/>
    </row>
    <row r="30" spans="1:3" x14ac:dyDescent="0.25">
      <c r="A30" s="7"/>
      <c r="B30" s="7"/>
      <c r="C30" s="7"/>
    </row>
    <row r="31" spans="1:3" x14ac:dyDescent="0.25">
      <c r="A31" s="7"/>
      <c r="B31" s="7"/>
      <c r="C31" s="7"/>
    </row>
    <row r="32" spans="1:3" x14ac:dyDescent="0.25">
      <c r="A32" s="7"/>
      <c r="B32" s="7"/>
      <c r="C32" s="7"/>
    </row>
    <row r="33" spans="1:3" x14ac:dyDescent="0.25">
      <c r="A33" s="7"/>
      <c r="B33" s="7"/>
      <c r="C33" s="7"/>
    </row>
    <row r="34" spans="1:3" x14ac:dyDescent="0.25">
      <c r="A34" s="7"/>
      <c r="B34" s="7"/>
      <c r="C34" s="7"/>
    </row>
    <row r="35" spans="1:3" x14ac:dyDescent="0.25">
      <c r="A35" s="7"/>
      <c r="B35" s="7"/>
      <c r="C35" s="7"/>
    </row>
    <row r="36" spans="1:3" x14ac:dyDescent="0.25">
      <c r="A36" s="7"/>
      <c r="B36" s="7"/>
      <c r="C36" s="7"/>
    </row>
    <row r="37" spans="1:3" x14ac:dyDescent="0.25">
      <c r="A37" s="7"/>
      <c r="B37" s="7"/>
      <c r="C37" s="7"/>
    </row>
    <row r="38" spans="1:3" x14ac:dyDescent="0.25">
      <c r="A38" s="7"/>
      <c r="B38" s="7"/>
      <c r="C38" s="7"/>
    </row>
    <row r="39" spans="1:3" x14ac:dyDescent="0.25">
      <c r="A39" s="7"/>
      <c r="B39" s="7"/>
      <c r="C39" s="7"/>
    </row>
    <row r="40" spans="1:3" x14ac:dyDescent="0.25">
      <c r="A40" s="7"/>
      <c r="B40" s="7"/>
      <c r="C40" s="7"/>
    </row>
    <row r="41" spans="1:3" x14ac:dyDescent="0.25">
      <c r="A41" s="7"/>
      <c r="B41" s="7"/>
      <c r="C41" s="7"/>
    </row>
    <row r="42" spans="1:3" x14ac:dyDescent="0.25">
      <c r="A42" s="7"/>
      <c r="B42" s="7"/>
      <c r="C42" s="7"/>
    </row>
    <row r="43" spans="1:3" x14ac:dyDescent="0.25">
      <c r="A43" s="7"/>
      <c r="B43" s="7"/>
      <c r="C43" s="7"/>
    </row>
    <row r="44" spans="1:3" x14ac:dyDescent="0.25">
      <c r="A44" s="7"/>
      <c r="B44" s="7"/>
      <c r="C44" s="7"/>
    </row>
    <row r="45" spans="1:3" x14ac:dyDescent="0.25">
      <c r="A45" s="7"/>
      <c r="B45" s="7"/>
      <c r="C45" s="7"/>
    </row>
    <row r="46" spans="1:3" x14ac:dyDescent="0.25">
      <c r="A46" s="7"/>
      <c r="B46" s="7"/>
      <c r="C46" s="7"/>
    </row>
    <row r="47" spans="1:3" x14ac:dyDescent="0.25">
      <c r="A47" s="7"/>
      <c r="B47" s="7"/>
      <c r="C47" s="7"/>
    </row>
    <row r="48" spans="1:3" x14ac:dyDescent="0.25">
      <c r="A48" s="7"/>
      <c r="B48" s="7"/>
      <c r="C48" s="7"/>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PC 33 Comlab 1</cp:lastModifiedBy>
  <dcterms:created xsi:type="dcterms:W3CDTF">2022-03-18T02:50:57Z</dcterms:created>
  <dcterms:modified xsi:type="dcterms:W3CDTF">2026-02-27T04:16:57Z</dcterms:modified>
</cp:coreProperties>
</file>